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0" yWindow="0" windowWidth="23040" windowHeight="9396"/>
  </bookViews>
  <sheets>
    <sheet name="Sayfa1" sheetId="1" r:id="rId1"/>
  </sheets>
  <definedNames>
    <definedName name="BaslaSatir">Sayfa1!#REF!</definedName>
    <definedName name="dovizCOM">Sayfa1!$C$56</definedName>
    <definedName name="dovizTRY">Sayfa1!$E$56</definedName>
    <definedName name="FormatSatir">Sayfa1!#REF!</definedName>
    <definedName name="tarih">Sayfa1!$F$2</definedName>
    <definedName name="txtBirimAd">Sayfa1!#REF!</definedName>
    <definedName name="txtBirimKod">Sayfa1!#REF!</definedName>
    <definedName name="txtMuhasebeKod">Sayfa1!#REF!</definedName>
    <definedName name="txtYil">Sayfa1!#REF!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0" i="1" l="1"/>
  <c r="F49" i="1"/>
  <c r="F48" i="1"/>
  <c r="F47" i="1"/>
  <c r="E37" i="1" l="1"/>
  <c r="E36" i="1"/>
  <c r="E35" i="1"/>
  <c r="E34" i="1"/>
  <c r="E33" i="1"/>
  <c r="E32" i="1"/>
  <c r="E31" i="1"/>
  <c r="E30" i="1"/>
  <c r="E29" i="1"/>
  <c r="E28" i="1"/>
  <c r="E27" i="1"/>
  <c r="E26" i="1"/>
  <c r="E23" i="1"/>
  <c r="E22" i="1"/>
  <c r="F19" i="1"/>
  <c r="F18" i="1"/>
  <c r="F17" i="1"/>
  <c r="F16" i="1"/>
  <c r="F15" i="1"/>
  <c r="F14" i="1"/>
  <c r="F13" i="1"/>
  <c r="F12" i="1"/>
  <c r="F11" i="1"/>
  <c r="F10" i="1"/>
  <c r="F6" i="1"/>
  <c r="F5" i="1"/>
  <c r="D38" i="1"/>
  <c r="C38" i="1"/>
  <c r="E38" i="1" s="1"/>
</calcChain>
</file>

<file path=xl/sharedStrings.xml><?xml version="1.0" encoding="utf-8"?>
<sst xmlns="http://schemas.openxmlformats.org/spreadsheetml/2006/main" count="189" uniqueCount="112">
  <si>
    <t>Kalan</t>
  </si>
  <si>
    <t>GÜNLÜK  DURUM TAKİP ÇİZELGESİ</t>
  </si>
  <si>
    <t>NAKİT HAREKETLERİ</t>
  </si>
  <si>
    <t>KASA COM</t>
  </si>
  <si>
    <t>xxx</t>
  </si>
  <si>
    <t>Devir</t>
  </si>
  <si>
    <t>Tahsil</t>
  </si>
  <si>
    <t>Tediye</t>
  </si>
  <si>
    <t>Bakiye</t>
  </si>
  <si>
    <t>BANKALAR</t>
  </si>
  <si>
    <t>Hazır Değerler Hesabı</t>
  </si>
  <si>
    <t>Ödenek Tahsisi</t>
  </si>
  <si>
    <t>Serbest Bırakılan</t>
  </si>
  <si>
    <t>T.C. KATKISI</t>
  </si>
  <si>
    <t>SATINALMA İŞLEMLERİ</t>
  </si>
  <si>
    <t>Alınan Avans</t>
  </si>
  <si>
    <t>Tamamlanan Evrak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</si>
  <si>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</si>
  <si>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</si>
  <si>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</si>
  <si>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</si>
  <si>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</si>
  <si>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</si>
  <si>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</si>
  <si>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</si>
  <si>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</si>
  <si>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</si>
  <si>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</si>
  <si>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</si>
  <si>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Genel Toplam</t>
  </si>
  <si>
    <t>270.01.01</t>
  </si>
  <si>
    <t>270.01.02</t>
  </si>
  <si>
    <t>270.01.03</t>
  </si>
  <si>
    <t>270.01.04</t>
  </si>
  <si>
    <t>270.01.05</t>
  </si>
  <si>
    <t>270.01.06</t>
  </si>
  <si>
    <t>270.01.07</t>
  </si>
  <si>
    <t>270.01.08</t>
  </si>
  <si>
    <t>270.01.09</t>
  </si>
  <si>
    <t>270.01.10</t>
  </si>
  <si>
    <t>270.01.11</t>
  </si>
  <si>
    <t>270.01.12</t>
  </si>
  <si>
    <t>120.04.02.01.01</t>
  </si>
  <si>
    <t>120.04.02.02.01</t>
  </si>
  <si>
    <t>105.02.01.01.01.01</t>
  </si>
  <si>
    <t>105.02.01.01.01.02</t>
  </si>
  <si>
    <t>102.01.01.01</t>
  </si>
  <si>
    <t>105.02.01.03.01.01</t>
  </si>
  <si>
    <t>102.01.02.02</t>
  </si>
  <si>
    <t>105.02.01.02.01.02</t>
  </si>
  <si>
    <t>108.01.01</t>
  </si>
  <si>
    <t>105.02.02.01.01.01</t>
  </si>
  <si>
    <t>105.02.01.04.01.01</t>
  </si>
  <si>
    <t>105.01.01.01</t>
  </si>
  <si>
    <t>100.01</t>
  </si>
  <si>
    <t>VADELİ HESAP VE FAİZ GELİRLERİ</t>
  </si>
  <si>
    <t>Hs. Kapama/
Faiz Geliri Hs. Kapama</t>
  </si>
  <si>
    <t>Vadelide Olan/
Faiz Geliri</t>
  </si>
  <si>
    <t>Vadeli Hesaplar TL</t>
  </si>
  <si>
    <t>Faiz Gelirleri</t>
  </si>
  <si>
    <t>Vadeli Hesaplar USD</t>
  </si>
  <si>
    <t>105.02.01.02.02.02</t>
  </si>
  <si>
    <t>600.05.01.09.03.02</t>
  </si>
  <si>
    <t>600.05.01.09.03.01</t>
  </si>
  <si>
    <t>102.02.02</t>
  </si>
  <si>
    <t>000</t>
  </si>
  <si>
    <t>Döviz Kuru</t>
  </si>
  <si>
    <t>Mevcut Durum</t>
  </si>
  <si>
    <t>Genel Harcama</t>
  </si>
  <si>
    <t>KASA BANKA TOPLAMLARI</t>
  </si>
  <si>
    <t>Şamil BALCI</t>
  </si>
  <si>
    <t>Tuğçe DÖNMEZ</t>
  </si>
  <si>
    <t>Muhasebe</t>
  </si>
  <si>
    <t>Verilen Çekler</t>
  </si>
  <si>
    <t>Gönderme Emirleri</t>
  </si>
  <si>
    <t xml:space="preserve">Kong-Semp-Org. Hesabı </t>
  </si>
  <si>
    <t>????</t>
  </si>
  <si>
    <t>USD</t>
  </si>
  <si>
    <t>TRY</t>
  </si>
  <si>
    <t>COM</t>
  </si>
  <si>
    <t>Hesap Açma</t>
  </si>
  <si>
    <t>270.02</t>
  </si>
  <si>
    <t>106.01.01.02.01.02</t>
  </si>
  <si>
    <t>106.01.01.01.02.02</t>
  </si>
  <si>
    <t>106.01.01.01.02.03</t>
  </si>
  <si>
    <t>devir</t>
  </si>
  <si>
    <t>tahsil</t>
  </si>
  <si>
    <t>tediye</t>
  </si>
  <si>
    <t>hesapAcma</t>
  </si>
  <si>
    <t>kapama</t>
  </si>
  <si>
    <t>devirD</t>
  </si>
  <si>
    <t>tahsilD</t>
  </si>
  <si>
    <t>tediyeD</t>
  </si>
  <si>
    <t>KASA USD</t>
  </si>
  <si>
    <t>KASA EUR</t>
  </si>
  <si>
    <t>Demirbank COM</t>
  </si>
  <si>
    <t>Demirbank USD</t>
  </si>
  <si>
    <t>Demirbank EUR</t>
  </si>
  <si>
    <t>TC Zr. Ban. (Bilkent Plaza) USD</t>
  </si>
  <si>
    <t>TC Zr. Ban. (Bilkent Plaza) TRY</t>
  </si>
  <si>
    <t>Yurt Depozito Hesabı COM</t>
  </si>
  <si>
    <t>Kantin Kafe. Banka COM</t>
  </si>
  <si>
    <t>Demirbank İsviçre Frangı Hs. CFG</t>
  </si>
  <si>
    <t>alınanAvansD</t>
  </si>
  <si>
    <t>tamamlananEvrakD</t>
  </si>
  <si>
    <t>muhasebeD</t>
  </si>
  <si>
    <t>muhasebe</t>
  </si>
  <si>
    <t>ödenekTahsisD</t>
  </si>
  <si>
    <t>serbestBırakılanD</t>
  </si>
  <si>
    <t>Hazine Yardımı TRY</t>
  </si>
  <si>
    <t>hesapAcmaD</t>
  </si>
  <si>
    <t>kapamaD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</si>
</sst>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-* #,##0.00\ [$TL-41F]_-;\-* #,##0.00\ [$TL-41F]_-;_-* &quot;-&quot;??\ [$TL-41F]_-;_-@_-"/>
    <numFmt numFmtId="165" formatCode="_-* #,##0.00\ [$сом-440]_-;\-* #,##0.00\ [$сом-440]_-;_-* &quot;-&quot;??\ [$сом-440]_-;_-@_-"/>
  </numFmts>
  <fonts count="11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10"/>
      <name val="Arial"/>
      <family val="2"/>
    </font>
    <font>
      <sz val="11"/>
      <name val="Calibri"/>
      <family val="2"/>
      <charset val="162"/>
      <scheme val="minor"/>
    </font>
    <font>
      <b/>
      <sz val="14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8"/>
      <name val="Arial Tu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vertical="center"/>
    </xf>
    <xf numFmtId="14" fontId="3" fillId="0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3" fillId="0" borderId="1" xfId="1" applyFont="1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165" fontId="0" fillId="0" borderId="3" xfId="0" applyNumberFormat="1" applyFont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4" fontId="3" fillId="3" borderId="1" xfId="0" applyNumberFormat="1" applyFon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1" applyNumberFormat="1" applyFont="1" applyFill="1" applyBorder="1" applyAlignment="1">
      <alignment horizontal="center" vertical="center"/>
    </xf>
    <xf numFmtId="164" fontId="3" fillId="3" borderId="1" xfId="1" applyNumberFormat="1" applyFont="1" applyFill="1" applyBorder="1" applyAlignment="1">
      <alignment horizontal="center" vertical="center" wrapText="1"/>
    </xf>
    <xf numFmtId="43" fontId="0" fillId="2" borderId="1" xfId="2" applyFont="1" applyFill="1" applyBorder="1" applyAlignment="1">
      <alignment horizontal="right" vertical="center"/>
    </xf>
    <xf numFmtId="0" fontId="9" fillId="0" borderId="0" xfId="0" applyFont="1" applyBorder="1" applyAlignment="1">
      <alignment vertical="center"/>
    </xf>
    <xf numFmtId="0" fontId="10" fillId="0" borderId="4" xfId="0" applyFont="1" applyFill="1" applyBorder="1" applyAlignment="1">
      <alignment horizontal="left" vertical="center" shrinkToFit="1"/>
    </xf>
    <xf numFmtId="0" fontId="7" fillId="0" borderId="0" xfId="0" applyFont="1" applyFill="1" applyAlignment="1">
      <alignment horizontal="center" vertical="center"/>
    </xf>
  </cellXfs>
  <cellStyles count="3">
    <cellStyle name="Normal" xfId="0" builtinId="0"/>
    <cellStyle name="Normal_Sayfa1" xfId="1"/>
    <cellStyle name="Virgül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59"/>
  <sheetViews>
    <sheetView tabSelected="1" workbookViewId="0">
      <selection activeCell="B1" sqref="B1:F1"/>
    </sheetView>
  </sheetViews>
  <sheetFormatPr defaultColWidth="8.88671875" defaultRowHeight="14.4" x14ac:dyDescent="0.3"/>
  <cols>
    <col min="1" max="1" width="10.109375" style="26" bestFit="1" customWidth="1"/>
    <col min="2" max="2" width="29.6640625" style="1" bestFit="1" customWidth="1"/>
    <col min="3" max="6" width="16.88671875" style="1" customWidth="1"/>
    <col min="7" max="7" width="8.88671875" style="1"/>
    <col min="8" max="8" width="16.33203125" style="1" customWidth="1"/>
    <col min="9" max="16384" width="8.88671875" style="1"/>
  </cols>
  <sheetData>
    <row r="1" spans="1:7" ht="18" x14ac:dyDescent="0.3">
      <c r="B1" s="28" t="s">
        <v>1</v>
      </c>
      <c r="C1" s="28"/>
      <c r="D1" s="28"/>
      <c r="E1" s="28"/>
      <c r="F1" s="28"/>
    </row>
    <row r="2" spans="1:7" x14ac:dyDescent="0.3">
      <c r="F2" s="3" t="s">
        <v>4</v>
      </c>
    </row>
    <row r="3" spans="1:7" x14ac:dyDescent="0.3">
      <c r="C3" s="4"/>
      <c r="D3" s="4"/>
      <c r="E3" s="4"/>
      <c r="F3" s="4"/>
      <c r="G3" s="4"/>
    </row>
    <row r="4" spans="1:7" x14ac:dyDescent="0.3">
      <c r="B4" s="19" t="s">
        <v>2</v>
      </c>
      <c r="C4" s="20" t="s">
        <v>5</v>
      </c>
      <c r="D4" s="20" t="s">
        <v>6</v>
      </c>
      <c r="E4" s="20" t="s">
        <v>7</v>
      </c>
      <c r="F4" s="20" t="s">
        <v>8</v>
      </c>
    </row>
    <row r="5" spans="1:7" x14ac:dyDescent="0.3">
      <c r="A5" s="26" t="s">
        <v>53</v>
      </c>
      <c r="B5" s="5" t="s">
        <v>3</v>
      </c>
      <c r="C5" s="25" t="s">
        <v>90</v>
      </c>
      <c r="D5" s="25" t="s">
        <v>91</v>
      </c>
      <c r="E5" s="25" t="s">
        <v>92</v>
      </c>
      <c r="F5" s="25" t="e">
        <f>C5+(D5-E5)</f>
        <v>#VALUE!</v>
      </c>
    </row>
    <row r="6" spans="1:7" x14ac:dyDescent="0.3">
      <c r="A6" s="26" t="s">
        <v>54</v>
      </c>
      <c r="B6" s="5" t="s">
        <v>93</v>
      </c>
      <c r="C6" s="25" t="s">
        <v>85</v>
      </c>
      <c r="D6" s="25" t="s">
        <v>86</v>
      </c>
      <c r="E6" s="25" t="s">
        <v>87</v>
      </c>
      <c r="F6" s="25" t="e">
        <f>C6+(D6-E6)</f>
        <v>#VALUE!</v>
      </c>
    </row>
    <row r="7" spans="1:7" x14ac:dyDescent="0.3">
      <c r="A7" s="26" t="s">
        <v>65</v>
      </c>
      <c r="B7" s="5" t="s">
        <v>94</v>
      </c>
      <c r="C7" s="25">
        <v>0</v>
      </c>
      <c r="D7" s="25">
        <v>0</v>
      </c>
      <c r="E7" s="25">
        <v>0</v>
      </c>
      <c r="F7" s="25">
        <v>0</v>
      </c>
    </row>
    <row r="9" spans="1:7" x14ac:dyDescent="0.3">
      <c r="B9" s="19" t="s">
        <v>9</v>
      </c>
      <c r="C9" s="20" t="s">
        <v>5</v>
      </c>
      <c r="D9" s="20" t="s">
        <v>6</v>
      </c>
      <c r="E9" s="20" t="s">
        <v>7</v>
      </c>
      <c r="F9" s="20" t="s">
        <v>8</v>
      </c>
    </row>
    <row r="10" spans="1:7" x14ac:dyDescent="0.3">
      <c r="A10" s="26" t="s">
        <v>44</v>
      </c>
      <c r="B10" s="5" t="s">
        <v>95</v>
      </c>
      <c r="C10" s="25" t="s">
        <v>90</v>
      </c>
      <c r="D10" s="25" t="s">
        <v>91</v>
      </c>
      <c r="E10" s="25" t="s">
        <v>92</v>
      </c>
      <c r="F10" s="25" t="e">
        <f t="shared" ref="F10:F19" si="0">C10+(D10-E10)</f>
        <v>#VALUE!</v>
      </c>
    </row>
    <row r="11" spans="1:7" x14ac:dyDescent="0.3">
      <c r="A11" s="26" t="s">
        <v>45</v>
      </c>
      <c r="B11" s="5" t="s">
        <v>95</v>
      </c>
      <c r="C11" s="25" t="s">
        <v>90</v>
      </c>
      <c r="D11" s="25" t="s">
        <v>91</v>
      </c>
      <c r="E11" s="25" t="s">
        <v>92</v>
      </c>
      <c r="F11" s="25" t="e">
        <f t="shared" si="0"/>
        <v>#VALUE!</v>
      </c>
    </row>
    <row r="12" spans="1:7" x14ac:dyDescent="0.3">
      <c r="A12" s="26" t="s">
        <v>46</v>
      </c>
      <c r="B12" s="5" t="s">
        <v>96</v>
      </c>
      <c r="C12" s="25" t="s">
        <v>85</v>
      </c>
      <c r="D12" s="25" t="s">
        <v>86</v>
      </c>
      <c r="E12" s="25" t="s">
        <v>87</v>
      </c>
      <c r="F12" s="25" t="e">
        <f t="shared" si="0"/>
        <v>#VALUE!</v>
      </c>
    </row>
    <row r="13" spans="1:7" x14ac:dyDescent="0.3">
      <c r="A13" s="26" t="s">
        <v>47</v>
      </c>
      <c r="B13" s="5" t="s">
        <v>97</v>
      </c>
      <c r="C13" s="25" t="s">
        <v>90</v>
      </c>
      <c r="D13" s="25" t="s">
        <v>91</v>
      </c>
      <c r="E13" s="25" t="s">
        <v>92</v>
      </c>
      <c r="F13" s="25" t="e">
        <f t="shared" si="0"/>
        <v>#VALUE!</v>
      </c>
    </row>
    <row r="14" spans="1:7" x14ac:dyDescent="0.3">
      <c r="A14" s="26" t="s">
        <v>48</v>
      </c>
      <c r="B14" s="5" t="s">
        <v>98</v>
      </c>
      <c r="C14" s="25" t="s">
        <v>85</v>
      </c>
      <c r="D14" s="25" t="s">
        <v>86</v>
      </c>
      <c r="E14" s="25" t="s">
        <v>87</v>
      </c>
      <c r="F14" s="25" t="e">
        <f t="shared" si="0"/>
        <v>#VALUE!</v>
      </c>
    </row>
    <row r="15" spans="1:7" x14ac:dyDescent="0.3">
      <c r="A15" s="26" t="s">
        <v>49</v>
      </c>
      <c r="B15" s="5" t="s">
        <v>99</v>
      </c>
      <c r="C15" s="25" t="s">
        <v>90</v>
      </c>
      <c r="D15" s="25" t="s">
        <v>91</v>
      </c>
      <c r="E15" s="25" t="s">
        <v>92</v>
      </c>
      <c r="F15" s="25" t="e">
        <f t="shared" si="0"/>
        <v>#VALUE!</v>
      </c>
    </row>
    <row r="16" spans="1:7" x14ac:dyDescent="0.3">
      <c r="A16" s="26" t="s">
        <v>50</v>
      </c>
      <c r="B16" s="5" t="s">
        <v>10</v>
      </c>
      <c r="C16" s="25" t="s">
        <v>85</v>
      </c>
      <c r="D16" s="25" t="s">
        <v>86</v>
      </c>
      <c r="E16" s="25" t="s">
        <v>87</v>
      </c>
      <c r="F16" s="25" t="e">
        <f t="shared" si="0"/>
        <v>#VALUE!</v>
      </c>
    </row>
    <row r="17" spans="1:6" x14ac:dyDescent="0.3">
      <c r="A17" s="26" t="s">
        <v>51</v>
      </c>
      <c r="B17" s="5" t="s">
        <v>100</v>
      </c>
      <c r="C17" s="25" t="s">
        <v>90</v>
      </c>
      <c r="D17" s="25" t="s">
        <v>91</v>
      </c>
      <c r="E17" s="25" t="s">
        <v>92</v>
      </c>
      <c r="F17" s="25" t="e">
        <f t="shared" si="0"/>
        <v>#VALUE!</v>
      </c>
    </row>
    <row r="18" spans="1:6" x14ac:dyDescent="0.3">
      <c r="A18" s="26" t="s">
        <v>52</v>
      </c>
      <c r="B18" s="5" t="s">
        <v>102</v>
      </c>
      <c r="C18" s="25" t="s">
        <v>90</v>
      </c>
      <c r="D18" s="25" t="s">
        <v>91</v>
      </c>
      <c r="E18" s="25" t="s">
        <v>92</v>
      </c>
      <c r="F18" s="25" t="e">
        <f t="shared" si="0"/>
        <v>#VALUE!</v>
      </c>
    </row>
    <row r="19" spans="1:6" x14ac:dyDescent="0.3">
      <c r="B19" s="5" t="s">
        <v>101</v>
      </c>
      <c r="C19" s="25">
        <v>0</v>
      </c>
      <c r="D19" s="25">
        <v>0</v>
      </c>
      <c r="E19" s="25">
        <v>0</v>
      </c>
      <c r="F19" s="25">
        <f t="shared" si="0"/>
        <v>0</v>
      </c>
    </row>
    <row r="21" spans="1:6" x14ac:dyDescent="0.3">
      <c r="B21" s="19" t="s">
        <v>13</v>
      </c>
      <c r="C21" s="21" t="s">
        <v>11</v>
      </c>
      <c r="D21" s="21" t="s">
        <v>12</v>
      </c>
      <c r="E21" s="21" t="s">
        <v>0</v>
      </c>
    </row>
    <row r="22" spans="1:6" x14ac:dyDescent="0.3">
      <c r="A22" s="26" t="s">
        <v>42</v>
      </c>
      <c r="B22" s="2" t="s">
        <v>109</v>
      </c>
      <c r="C22" s="25" t="s">
        <v>107</v>
      </c>
      <c r="D22" s="25" t="s">
        <v>108</v>
      </c>
      <c r="E22" s="25" t="e">
        <f>C22-D22</f>
        <v>#VALUE!</v>
      </c>
    </row>
    <row r="23" spans="1:6" x14ac:dyDescent="0.3">
      <c r="A23" s="26" t="s">
        <v>43</v>
      </c>
      <c r="B23" s="2" t="s">
        <v>109</v>
      </c>
      <c r="C23" s="25" t="s">
        <v>107</v>
      </c>
      <c r="D23" s="25" t="s">
        <v>108</v>
      </c>
      <c r="E23" s="25" t="e">
        <f>C23-D23</f>
        <v>#VALUE!</v>
      </c>
    </row>
    <row r="25" spans="1:6" x14ac:dyDescent="0.3">
      <c r="B25" s="19" t="s">
        <v>14</v>
      </c>
      <c r="C25" s="20" t="s">
        <v>15</v>
      </c>
      <c r="D25" s="20" t="s">
        <v>16</v>
      </c>
      <c r="E25" s="20" t="s">
        <v>0</v>
      </c>
    </row>
    <row r="26" spans="1:6" x14ac:dyDescent="0.3">
      <c r="A26" s="26" t="s">
        <v>30</v>
      </c>
      <c r="B26" s="6" t="s">
        <v>17</v>
      </c>
      <c r="C26" s="25" t="s">
        <v>103</v>
      </c>
      <c r="D26" s="25" t="s">
        <v>104</v>
      </c>
      <c r="E26" s="25" t="e">
        <f t="shared" ref="E26:E38" si="1">C26-D26</f>
        <v>#VALUE!</v>
      </c>
    </row>
    <row r="27" spans="1:6" x14ac:dyDescent="0.3">
      <c r="A27" s="26" t="s">
        <v>31</v>
      </c>
      <c r="B27" s="6" t="s">
        <v>18</v>
      </c>
      <c r="C27" s="25" t="s">
        <v>103</v>
      </c>
      <c r="D27" s="25" t="s">
        <v>104</v>
      </c>
      <c r="E27" s="25" t="e">
        <f t="shared" si="1"/>
        <v>#VALUE!</v>
      </c>
    </row>
    <row r="28" spans="1:6" x14ac:dyDescent="0.3">
      <c r="A28" s="26" t="s">
        <v>32</v>
      </c>
      <c r="B28" s="7" t="s">
        <v>19</v>
      </c>
      <c r="C28" s="25" t="s">
        <v>103</v>
      </c>
      <c r="D28" s="25" t="s">
        <v>104</v>
      </c>
      <c r="E28" s="25" t="e">
        <f t="shared" si="1"/>
        <v>#VALUE!</v>
      </c>
    </row>
    <row r="29" spans="1:6" x14ac:dyDescent="0.3">
      <c r="A29" s="26" t="s">
        <v>33</v>
      </c>
      <c r="B29" s="6" t="s">
        <v>20</v>
      </c>
      <c r="C29" s="25" t="s">
        <v>103</v>
      </c>
      <c r="D29" s="25" t="s">
        <v>104</v>
      </c>
      <c r="E29" s="25" t="e">
        <f t="shared" si="1"/>
        <v>#VALUE!</v>
      </c>
    </row>
    <row r="30" spans="1:6" x14ac:dyDescent="0.3">
      <c r="A30" s="26" t="s">
        <v>34</v>
      </c>
      <c r="B30" s="6" t="s">
        <v>21</v>
      </c>
      <c r="C30" s="25" t="s">
        <v>103</v>
      </c>
      <c r="D30" s="25" t="s">
        <v>104</v>
      </c>
      <c r="E30" s="25" t="e">
        <f t="shared" si="1"/>
        <v>#VALUE!</v>
      </c>
    </row>
    <row r="31" spans="1:6" x14ac:dyDescent="0.3">
      <c r="A31" s="26" t="s">
        <v>35</v>
      </c>
      <c r="B31" s="6" t="s">
        <v>22</v>
      </c>
      <c r="C31" s="25" t="s">
        <v>103</v>
      </c>
      <c r="D31" s="25" t="s">
        <v>104</v>
      </c>
      <c r="E31" s="25" t="e">
        <f t="shared" si="1"/>
        <v>#VALUE!</v>
      </c>
    </row>
    <row r="32" spans="1:6" x14ac:dyDescent="0.3">
      <c r="A32" s="26" t="s">
        <v>36</v>
      </c>
      <c r="B32" s="6" t="s">
        <v>23</v>
      </c>
      <c r="C32" s="25" t="s">
        <v>103</v>
      </c>
      <c r="D32" s="25" t="s">
        <v>104</v>
      </c>
      <c r="E32" s="25" t="e">
        <f t="shared" si="1"/>
        <v>#VALUE!</v>
      </c>
    </row>
    <row r="33" spans="1:6" x14ac:dyDescent="0.3">
      <c r="A33" s="26" t="s">
        <v>37</v>
      </c>
      <c r="B33" s="6" t="s">
        <v>24</v>
      </c>
      <c r="C33" s="25" t="s">
        <v>103</v>
      </c>
      <c r="D33" s="25" t="s">
        <v>104</v>
      </c>
      <c r="E33" s="25" t="e">
        <f t="shared" si="1"/>
        <v>#VALUE!</v>
      </c>
    </row>
    <row r="34" spans="1:6" x14ac:dyDescent="0.3">
      <c r="A34" s="26" t="s">
        <v>38</v>
      </c>
      <c r="B34" s="6" t="s">
        <v>25</v>
      </c>
      <c r="C34" s="25" t="s">
        <v>103</v>
      </c>
      <c r="D34" s="25" t="s">
        <v>104</v>
      </c>
      <c r="E34" s="25" t="e">
        <f t="shared" si="1"/>
        <v>#VALUE!</v>
      </c>
    </row>
    <row r="35" spans="1:6" x14ac:dyDescent="0.3">
      <c r="A35" s="26" t="s">
        <v>39</v>
      </c>
      <c r="B35" s="6" t="s">
        <v>26</v>
      </c>
      <c r="C35" s="25" t="s">
        <v>103</v>
      </c>
      <c r="D35" s="25" t="s">
        <v>104</v>
      </c>
      <c r="E35" s="25" t="e">
        <f t="shared" si="1"/>
        <v>#VALUE!</v>
      </c>
    </row>
    <row r="36" spans="1:6" x14ac:dyDescent="0.3">
      <c r="A36" s="26" t="s">
        <v>40</v>
      </c>
      <c r="B36" s="6" t="s">
        <v>27</v>
      </c>
      <c r="C36" s="25" t="s">
        <v>103</v>
      </c>
      <c r="D36" s="25" t="s">
        <v>104</v>
      </c>
      <c r="E36" s="25" t="e">
        <f t="shared" si="1"/>
        <v>#VALUE!</v>
      </c>
    </row>
    <row r="37" spans="1:6" x14ac:dyDescent="0.3">
      <c r="A37" s="26" t="s">
        <v>41</v>
      </c>
      <c r="B37" s="6" t="s">
        <v>28</v>
      </c>
      <c r="C37" s="25" t="s">
        <v>103</v>
      </c>
      <c r="D37" s="25" t="s">
        <v>104</v>
      </c>
      <c r="E37" s="25" t="e">
        <f t="shared" si="1"/>
        <v>#VALUE!</v>
      </c>
    </row>
    <row r="38" spans="1:6" x14ac:dyDescent="0.3">
      <c r="B38" s="5" t="s">
        <v>29</v>
      </c>
      <c r="C38" s="25">
        <f>SUM(C26:C37)</f>
        <v>0</v>
      </c>
      <c r="D38" s="25">
        <f>SUM(D26:D37)</f>
        <v>0</v>
      </c>
      <c r="E38" s="25">
        <f t="shared" si="1"/>
        <v>0</v>
      </c>
    </row>
    <row r="40" spans="1:6" x14ac:dyDescent="0.3">
      <c r="B40" s="19" t="s">
        <v>76</v>
      </c>
      <c r="C40" s="22" t="s">
        <v>79</v>
      </c>
      <c r="D40" s="22" t="s">
        <v>78</v>
      </c>
      <c r="E40" s="22" t="s">
        <v>77</v>
      </c>
    </row>
    <row r="41" spans="1:6" x14ac:dyDescent="0.3">
      <c r="A41" s="27" t="s">
        <v>82</v>
      </c>
      <c r="B41" s="8" t="s">
        <v>72</v>
      </c>
      <c r="C41" s="25">
        <v>0</v>
      </c>
      <c r="D41" s="25" t="s">
        <v>105</v>
      </c>
      <c r="E41" s="25" t="s">
        <v>106</v>
      </c>
    </row>
    <row r="42" spans="1:6" x14ac:dyDescent="0.3">
      <c r="A42" s="27" t="s">
        <v>83</v>
      </c>
      <c r="B42" s="8" t="s">
        <v>73</v>
      </c>
      <c r="C42" s="25" t="s">
        <v>105</v>
      </c>
      <c r="D42" s="25">
        <v>0</v>
      </c>
      <c r="E42" s="25" t="s">
        <v>106</v>
      </c>
    </row>
    <row r="43" spans="1:6" x14ac:dyDescent="0.3">
      <c r="A43" s="27" t="s">
        <v>84</v>
      </c>
      <c r="B43" s="8" t="s">
        <v>74</v>
      </c>
      <c r="C43" s="25" t="s">
        <v>105</v>
      </c>
      <c r="D43" s="25">
        <v>0</v>
      </c>
      <c r="E43" s="25" t="s">
        <v>106</v>
      </c>
    </row>
    <row r="44" spans="1:6" x14ac:dyDescent="0.3">
      <c r="A44" s="27" t="s">
        <v>81</v>
      </c>
      <c r="B44" s="9" t="s">
        <v>75</v>
      </c>
      <c r="C44" s="25" t="s">
        <v>105</v>
      </c>
      <c r="D44" s="25">
        <v>0</v>
      </c>
      <c r="E44" s="25" t="s">
        <v>106</v>
      </c>
    </row>
    <row r="46" spans="1:6" ht="43.2" x14ac:dyDescent="0.3">
      <c r="B46" s="19" t="s">
        <v>55</v>
      </c>
      <c r="C46" s="23" t="s">
        <v>5</v>
      </c>
      <c r="D46" s="24" t="s">
        <v>80</v>
      </c>
      <c r="E46" s="24" t="s">
        <v>56</v>
      </c>
      <c r="F46" s="24" t="s">
        <v>57</v>
      </c>
    </row>
    <row r="47" spans="1:6" x14ac:dyDescent="0.3">
      <c r="A47" s="26" t="s">
        <v>61</v>
      </c>
      <c r="B47" s="10" t="s">
        <v>58</v>
      </c>
      <c r="C47" s="25" t="s">
        <v>90</v>
      </c>
      <c r="D47" s="25" t="s">
        <v>110</v>
      </c>
      <c r="E47" s="25" t="s">
        <v>111</v>
      </c>
      <c r="F47" s="25" t="e">
        <f t="shared" ref="F47:F50" si="2">C47+(D47-E47)</f>
        <v>#VALUE!</v>
      </c>
    </row>
    <row r="48" spans="1:6" x14ac:dyDescent="0.3">
      <c r="A48" s="26" t="s">
        <v>62</v>
      </c>
      <c r="B48" s="11" t="s">
        <v>59</v>
      </c>
      <c r="C48" s="25" t="s">
        <v>85</v>
      </c>
      <c r="D48" s="25" t="s">
        <v>88</v>
      </c>
      <c r="E48" s="25" t="s">
        <v>89</v>
      </c>
      <c r="F48" s="25" t="e">
        <f t="shared" si="2"/>
        <v>#VALUE!</v>
      </c>
    </row>
    <row r="49" spans="1:6" x14ac:dyDescent="0.3">
      <c r="A49" s="26" t="s">
        <v>63</v>
      </c>
      <c r="B49" s="11" t="s">
        <v>59</v>
      </c>
      <c r="C49" s="25" t="s">
        <v>85</v>
      </c>
      <c r="D49" s="25" t="s">
        <v>88</v>
      </c>
      <c r="E49" s="25" t="s">
        <v>89</v>
      </c>
      <c r="F49" s="25" t="e">
        <f t="shared" si="2"/>
        <v>#VALUE!</v>
      </c>
    </row>
    <row r="50" spans="1:6" x14ac:dyDescent="0.3">
      <c r="A50" s="26" t="s">
        <v>64</v>
      </c>
      <c r="B50" s="10" t="s">
        <v>60</v>
      </c>
      <c r="C50" s="25" t="s">
        <v>85</v>
      </c>
      <c r="D50" s="25" t="s">
        <v>88</v>
      </c>
      <c r="E50" s="25" t="s">
        <v>89</v>
      </c>
      <c r="F50" s="25" t="e">
        <f t="shared" si="2"/>
        <v>#VALUE!</v>
      </c>
    </row>
    <row r="52" spans="1:6" x14ac:dyDescent="0.3">
      <c r="B52" s="19" t="s">
        <v>69</v>
      </c>
      <c r="C52" s="22" t="s">
        <v>79</v>
      </c>
      <c r="D52" s="22" t="s">
        <v>77</v>
      </c>
      <c r="E52" s="22" t="s">
        <v>78</v>
      </c>
    </row>
    <row r="53" spans="1:6" x14ac:dyDescent="0.3">
      <c r="B53" s="12" t="s">
        <v>67</v>
      </c>
      <c r="C53" s="25"/>
      <c r="D53" s="25"/>
      <c r="E53" s="25"/>
    </row>
    <row r="54" spans="1:6" x14ac:dyDescent="0.3">
      <c r="B54" s="12" t="s">
        <v>68</v>
      </c>
      <c r="C54" s="25"/>
      <c r="D54" s="25"/>
      <c r="E54" s="25"/>
    </row>
    <row r="55" spans="1:6" x14ac:dyDescent="0.3">
      <c r="B55" s="17"/>
      <c r="C55" s="16"/>
      <c r="D55" s="16"/>
      <c r="E55" s="18"/>
    </row>
    <row r="56" spans="1:6" x14ac:dyDescent="0.3">
      <c r="B56" s="13" t="s">
        <v>66</v>
      </c>
      <c r="C56" s="25"/>
      <c r="D56" s="25"/>
      <c r="E56" s="25"/>
    </row>
    <row r="59" spans="1:6" x14ac:dyDescent="0.3">
      <c r="B59" s="14" t="s">
        <v>70</v>
      </c>
      <c r="C59" s="14"/>
      <c r="D59" s="15" t="s">
        <v>71</v>
      </c>
    </row>
  </sheetData>
  <mergeCells count="1">
    <mergeCell ref="B1:F1"/>
  </mergeCells>
  <printOptions horizontalCentered="1"/>
  <pageMargins left="0.25" right="0.25" top="0.28000000000000003" bottom="0.45" header="0.17" footer="0.17"/>
  <pageSetup paperSize="9" scale="88" orientation="portrait" r:id="rId1"/>
  <headerFooter>
    <oddFooter>&amp;L&amp;D &amp;T&amp;R&amp;P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3</vt:i4>
      </vt:variant>
    </vt:vector>
  </HeadingPairs>
  <TitlesOfParts>
    <vt:vector size="4" baseType="lpstr">
      <vt:lpstr>Sayfa1</vt:lpstr>
      <vt:lpstr>dovizCOM</vt:lpstr>
      <vt:lpstr>dovizTRY</vt:lpstr>
      <vt:lpstr>tarih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 Özgürün</cp:lastModifiedBy>
  <cp:lastPrinted>2020-10-22T11:27:22Z</cp:lastPrinted>
  <dcterms:created xsi:type="dcterms:W3CDTF">2017-04-01T15:36:01Z</dcterms:created>
  <dcterms:modified xsi:type="dcterms:W3CDTF">2020-10-28T16:45:04Z</dcterms:modified>
</cp:coreProperties>
</file>