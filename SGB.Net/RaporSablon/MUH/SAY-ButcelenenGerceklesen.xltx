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MUH\"/>
    </mc:Choice>
  </mc:AlternateContent>
  <bookViews>
    <workbookView xWindow="0" yWindow="0" windowWidth="23040" windowHeight="9984"/>
  </bookViews>
  <sheets>
    <sheet name="Sayfa1" sheetId="1" r:id="rId1"/>
  </sheets>
  <definedNames>
    <definedName name="BaslaSatir">Sayfa1!$C$6</definedName>
    <definedName name="ButceYil">Sayfa1!$A$1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6" i="1" l="1"/>
  <c r="E14" i="1" l="1"/>
  <c r="C14" i="1"/>
  <c r="B2" i="1" l="1"/>
  <c r="E25" i="1"/>
  <c r="D25" i="1"/>
  <c r="C25" i="1"/>
</calcChain>
</file>

<file path=xl/sharedStrings.xml><?xml version="1.0" encoding="utf-8"?>
<sst xmlns="http://schemas.openxmlformats.org/spreadsheetml/2006/main" count="26" uniqueCount="26">
  <si>
    <t>Bütçelenen Tutarlar</t>
  </si>
  <si>
    <t>Gerçekleşen Tutar</t>
  </si>
  <si>
    <t>Bütçe Ödeneği / Gelir Tahmini</t>
  </si>
  <si>
    <t>Nihai Ödenek</t>
  </si>
  <si>
    <t>TAHSİLATLAR</t>
  </si>
  <si>
    <t>Vergi Gelirleri</t>
  </si>
  <si>
    <t>Sosyal Güvenlik Gelirleri</t>
  </si>
  <si>
    <t>Teşebbüs ve Mülkiyet Gelirleri</t>
  </si>
  <si>
    <t>Alınan Bağış ve Yardımlar İle Özel Gelirler</t>
  </si>
  <si>
    <t>Diğer Gelirler</t>
  </si>
  <si>
    <t>Sermaye Gelirleri</t>
  </si>
  <si>
    <t>Alacaklardan Tahsilat</t>
  </si>
  <si>
    <t>Red ve İadeler (-)</t>
  </si>
  <si>
    <t>Toplam Tahsilatlar</t>
  </si>
  <si>
    <t>ÖDEMELER</t>
  </si>
  <si>
    <t>Personel Giderleri</t>
  </si>
  <si>
    <t xml:space="preserve">Sosyal Güvenlik Kurumlarına Devlet Primi Giderleri </t>
  </si>
  <si>
    <t xml:space="preserve">Mal ve Hizmet Alım Giderleri </t>
  </si>
  <si>
    <t>Faiz Giderleri</t>
  </si>
  <si>
    <t xml:space="preserve">Cari Transferler </t>
  </si>
  <si>
    <t xml:space="preserve">Sermaye Giderleri </t>
  </si>
  <si>
    <t xml:space="preserve">Sermaye Transferleri </t>
  </si>
  <si>
    <t xml:space="preserve">Borç Verme </t>
  </si>
  <si>
    <t xml:space="preserve">Yedek Ödenekler </t>
  </si>
  <si>
    <t>Toplam Ödemeler</t>
  </si>
  <si>
    <t>NET TAHSİLATLAR/ÖDEMELER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</si>
</sst>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64"/>
      </patternFill>
    </fill>
  </fills>
  <borders count="2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justify" vertical="center"/>
    </xf>
    <xf numFmtId="4" fontId="2" fillId="0" borderId="15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right" vertical="center"/>
    </xf>
    <xf numFmtId="4" fontId="2" fillId="0" borderId="1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4" fontId="2" fillId="0" borderId="5" xfId="0" applyNumberFormat="1" applyFont="1" applyBorder="1" applyAlignment="1">
      <alignment horizontal="right" vertical="center"/>
    </xf>
    <xf numFmtId="4" fontId="2" fillId="0" borderId="10" xfId="0" applyNumberFormat="1" applyFont="1" applyBorder="1" applyAlignment="1">
      <alignment horizontal="right" vertical="center"/>
    </xf>
    <xf numFmtId="0" fontId="2" fillId="0" borderId="8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4" fontId="3" fillId="3" borderId="19" xfId="0" applyNumberFormat="1" applyFont="1" applyFill="1" applyBorder="1" applyAlignment="1">
      <alignment horizontal="right" vertical="center"/>
    </xf>
    <xf numFmtId="4" fontId="3" fillId="3" borderId="20" xfId="0" applyNumberFormat="1" applyFont="1" applyFill="1" applyBorder="1" applyAlignment="1">
      <alignment horizontal="right" vertical="center"/>
    </xf>
    <xf numFmtId="4" fontId="3" fillId="3" borderId="21" xfId="0" applyNumberFormat="1" applyFont="1" applyFill="1" applyBorder="1" applyAlignment="1">
      <alignment horizontal="right" vertical="center"/>
    </xf>
    <xf numFmtId="0" fontId="2" fillId="0" borderId="0" xfId="0" applyFont="1"/>
    <xf numFmtId="4" fontId="3" fillId="2" borderId="25" xfId="0" applyNumberFormat="1" applyFont="1" applyFill="1" applyBorder="1" applyAlignment="1">
      <alignment horizontal="right" vertical="center"/>
    </xf>
    <xf numFmtId="4" fontId="3" fillId="2" borderId="26" xfId="0" applyNumberFormat="1" applyFont="1" applyFill="1" applyBorder="1" applyAlignment="1">
      <alignment horizontal="right" vertical="center"/>
    </xf>
    <xf numFmtId="4" fontId="3" fillId="4" borderId="24" xfId="0" applyNumberFormat="1" applyFont="1" applyFill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24" xfId="0" applyFont="1" applyBorder="1" applyAlignment="1">
      <alignment horizontal="left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27"/>
  <sheetViews>
    <sheetView showGridLines="0" tabSelected="1" topLeftCell="A3" workbookViewId="0">
      <selection activeCell="C6" sqref="C6"/>
    </sheetView>
  </sheetViews>
  <sheetFormatPr defaultRowHeight="15.6" x14ac:dyDescent="0.3"/>
  <cols>
    <col min="1" max="1" width="5.33203125" style="19" customWidth="1"/>
    <col min="2" max="2" width="49.44140625" style="19" bestFit="1" customWidth="1"/>
    <col min="3" max="4" width="27.5546875" style="19" customWidth="1"/>
    <col min="5" max="5" width="36.6640625" style="19" customWidth="1"/>
    <col min="6" max="16384" width="8.88671875" style="19"/>
  </cols>
  <sheetData>
    <row r="1" spans="1:5" ht="16.8" hidden="1" customHeight="1" thickBot="1" x14ac:dyDescent="0.35">
      <c r="A1" s="19">
        <v>2022</v>
      </c>
    </row>
    <row r="2" spans="1:5" ht="16.8" thickTop="1" thickBot="1" x14ac:dyDescent="0.35">
      <c r="B2" s="23" t="str">
        <f>ButceYil &amp; " BÜTÇELENEN VE GERÇEKLEŞEN TUTARLARIN KARŞILAŞTIRMA TABLOSU"</f>
        <v>2022 BÜTÇELENEN VE GERÇEKLEŞEN TUTARLARIN KARŞILAŞTIRMA TABLOSU</v>
      </c>
      <c r="C2" s="24"/>
      <c r="D2" s="24"/>
      <c r="E2" s="25"/>
    </row>
    <row r="3" spans="1:5" ht="16.2" customHeight="1" thickTop="1" x14ac:dyDescent="0.3">
      <c r="B3" s="11"/>
      <c r="C3" s="26" t="s">
        <v>0</v>
      </c>
      <c r="D3" s="27"/>
      <c r="E3" s="28" t="s">
        <v>1</v>
      </c>
    </row>
    <row r="4" spans="1:5" ht="37.799999999999997" customHeight="1" thickBot="1" x14ac:dyDescent="0.35">
      <c r="B4" s="12"/>
      <c r="C4" s="1" t="s">
        <v>2</v>
      </c>
      <c r="D4" s="2" t="s">
        <v>3</v>
      </c>
      <c r="E4" s="29"/>
    </row>
    <row r="5" spans="1:5" ht="17.399999999999999" customHeight="1" thickTop="1" thickBot="1" x14ac:dyDescent="0.35">
      <c r="B5" s="30" t="s">
        <v>4</v>
      </c>
      <c r="C5" s="31"/>
      <c r="D5" s="31"/>
      <c r="E5" s="32"/>
    </row>
    <row r="6" spans="1:5" ht="17.399999999999999" customHeight="1" thickTop="1" x14ac:dyDescent="0.3">
      <c r="B6" s="15" t="s">
        <v>5</v>
      </c>
      <c r="C6" s="4"/>
      <c r="D6" s="5"/>
      <c r="E6" s="6"/>
    </row>
    <row r="7" spans="1:5" ht="17.399999999999999" customHeight="1" x14ac:dyDescent="0.3">
      <c r="B7" s="10" t="s">
        <v>6</v>
      </c>
      <c r="C7" s="7"/>
      <c r="D7" s="8"/>
      <c r="E7" s="9"/>
    </row>
    <row r="8" spans="1:5" ht="17.399999999999999" customHeight="1" x14ac:dyDescent="0.3">
      <c r="B8" s="10" t="s">
        <v>7</v>
      </c>
      <c r="C8" s="7"/>
      <c r="D8" s="8"/>
      <c r="E8" s="9"/>
    </row>
    <row r="9" spans="1:5" ht="17.399999999999999" customHeight="1" x14ac:dyDescent="0.3">
      <c r="B9" s="10" t="s">
        <v>8</v>
      </c>
      <c r="C9" s="7"/>
      <c r="D9" s="8"/>
      <c r="E9" s="9"/>
    </row>
    <row r="10" spans="1:5" ht="17.399999999999999" customHeight="1" x14ac:dyDescent="0.3">
      <c r="B10" s="10" t="s">
        <v>9</v>
      </c>
      <c r="C10" s="7"/>
      <c r="D10" s="8"/>
      <c r="E10" s="9"/>
    </row>
    <row r="11" spans="1:5" ht="17.399999999999999" customHeight="1" x14ac:dyDescent="0.3">
      <c r="B11" s="3" t="s">
        <v>10</v>
      </c>
      <c r="C11" s="7"/>
      <c r="D11" s="8"/>
      <c r="E11" s="9"/>
    </row>
    <row r="12" spans="1:5" ht="17.399999999999999" customHeight="1" x14ac:dyDescent="0.3">
      <c r="B12" s="10" t="s">
        <v>11</v>
      </c>
      <c r="C12" s="7"/>
      <c r="D12" s="8"/>
      <c r="E12" s="9"/>
    </row>
    <row r="13" spans="1:5" ht="17.399999999999999" customHeight="1" x14ac:dyDescent="0.3">
      <c r="B13" s="10" t="s">
        <v>12</v>
      </c>
      <c r="C13" s="7"/>
      <c r="D13" s="8"/>
      <c r="E13" s="9"/>
    </row>
    <row r="14" spans="1:5" ht="17.399999999999999" customHeight="1" thickBot="1" x14ac:dyDescent="0.35">
      <c r="B14" s="13" t="s">
        <v>13</v>
      </c>
      <c r="C14" s="16">
        <f>SUM(C5:C12)-C13</f>
        <v>0</v>
      </c>
      <c r="D14" s="17"/>
      <c r="E14" s="18">
        <f t="shared" ref="E14" si="0">SUM(E5:E12)-E13</f>
        <v>0</v>
      </c>
    </row>
    <row r="15" spans="1:5" ht="17.399999999999999" customHeight="1" thickTop="1" thickBot="1" x14ac:dyDescent="0.35">
      <c r="B15" s="30" t="s">
        <v>14</v>
      </c>
      <c r="C15" s="31"/>
      <c r="D15" s="31"/>
      <c r="E15" s="32"/>
    </row>
    <row r="16" spans="1:5" ht="17.399999999999999" customHeight="1" thickTop="1" x14ac:dyDescent="0.3">
      <c r="B16" s="15" t="s">
        <v>15</v>
      </c>
      <c r="C16" s="4"/>
      <c r="D16" s="5"/>
      <c r="E16" s="6"/>
    </row>
    <row r="17" spans="2:5" ht="17.399999999999999" customHeight="1" x14ac:dyDescent="0.3">
      <c r="B17" s="10" t="s">
        <v>16</v>
      </c>
      <c r="C17" s="7"/>
      <c r="D17" s="8"/>
      <c r="E17" s="9"/>
    </row>
    <row r="18" spans="2:5" ht="17.399999999999999" customHeight="1" x14ac:dyDescent="0.3">
      <c r="B18" s="10" t="s">
        <v>17</v>
      </c>
      <c r="C18" s="7"/>
      <c r="D18" s="8"/>
      <c r="E18" s="9"/>
    </row>
    <row r="19" spans="2:5" ht="17.399999999999999" customHeight="1" x14ac:dyDescent="0.3">
      <c r="B19" s="10" t="s">
        <v>18</v>
      </c>
      <c r="C19" s="7"/>
      <c r="D19" s="8"/>
      <c r="E19" s="9"/>
    </row>
    <row r="20" spans="2:5" ht="17.399999999999999" customHeight="1" x14ac:dyDescent="0.3">
      <c r="B20" s="10" t="s">
        <v>19</v>
      </c>
      <c r="C20" s="7"/>
      <c r="D20" s="8"/>
      <c r="E20" s="9"/>
    </row>
    <row r="21" spans="2:5" ht="17.399999999999999" customHeight="1" x14ac:dyDescent="0.3">
      <c r="B21" s="10" t="s">
        <v>20</v>
      </c>
      <c r="C21" s="7"/>
      <c r="D21" s="8"/>
      <c r="E21" s="9"/>
    </row>
    <row r="22" spans="2:5" ht="17.399999999999999" customHeight="1" x14ac:dyDescent="0.3">
      <c r="B22" s="10" t="s">
        <v>21</v>
      </c>
      <c r="C22" s="7"/>
      <c r="D22" s="8"/>
      <c r="E22" s="9"/>
    </row>
    <row r="23" spans="2:5" ht="17.399999999999999" customHeight="1" x14ac:dyDescent="0.3">
      <c r="B23" s="10" t="s">
        <v>22</v>
      </c>
      <c r="C23" s="7"/>
      <c r="D23" s="8"/>
      <c r="E23" s="9"/>
    </row>
    <row r="24" spans="2:5" ht="17.399999999999999" customHeight="1" x14ac:dyDescent="0.3">
      <c r="B24" s="10" t="s">
        <v>23</v>
      </c>
      <c r="C24" s="7"/>
      <c r="D24" s="8"/>
      <c r="E24" s="9"/>
    </row>
    <row r="25" spans="2:5" ht="17.399999999999999" customHeight="1" thickBot="1" x14ac:dyDescent="0.35">
      <c r="B25" s="13" t="s">
        <v>24</v>
      </c>
      <c r="C25" s="16">
        <f>SUM(C16:C24)</f>
        <v>0</v>
      </c>
      <c r="D25" s="17">
        <f>SUM(D16:D24)</f>
        <v>0</v>
      </c>
      <c r="E25" s="18">
        <f>SUM(E16:E24)</f>
        <v>0</v>
      </c>
    </row>
    <row r="26" spans="2:5" ht="17.399999999999999" customHeight="1" thickTop="1" thickBot="1" x14ac:dyDescent="0.35">
      <c r="B26" s="14" t="s">
        <v>25</v>
      </c>
      <c r="C26" s="20"/>
      <c r="D26" s="21"/>
      <c r="E26" s="22" t="str">
        <f>TEXT( E14, "#.##0,00") &amp; "/" &amp; TEXT(E25, "#.##0,00")</f>
        <v>0,00/0,00</v>
      </c>
    </row>
    <row r="27" spans="2:5" ht="16.2" thickTop="1" x14ac:dyDescent="0.3"/>
  </sheetData>
  <mergeCells count="5">
    <mergeCell ref="B2:E2"/>
    <mergeCell ref="C3:D3"/>
    <mergeCell ref="E3:E4"/>
    <mergeCell ref="B5:E5"/>
    <mergeCell ref="B15:E15"/>
  </mergeCells>
  <pageMargins left="0.7" right="0.7" top="0.75" bottom="0.75" header="0.3" footer="0.3"/>
  <pageSetup paperSize="9" scale="89" orientation="landscape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2</vt:i4>
      </vt:variant>
    </vt:vector>
  </HeadingPairs>
  <TitlesOfParts>
    <vt:vector size="3" baseType="lpstr">
      <vt:lpstr>Sayfa1</vt:lpstr>
      <vt:lpstr>BaslaSatir</vt:lpstr>
      <vt:lpstr>ButceYil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cp:lastPrinted>2022-05-08T20:36:45Z</cp:lastPrinted>
  <dcterms:created xsi:type="dcterms:W3CDTF">2022-05-08T18:25:00Z</dcterms:created>
  <dcterms:modified xsi:type="dcterms:W3CDTF">2022-05-09T21:04:24Z</dcterms:modified>
</cp:coreProperties>
</file>