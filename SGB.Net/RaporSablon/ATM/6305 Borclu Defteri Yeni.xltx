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3040" windowHeight="9396"/>
  </bookViews>
  <sheets>
    <sheet name="Sayfa1" sheetId="1" r:id="rId1"/>
  </sheets>
  <definedNames>
    <definedName name="BaslaSatir">Sayfa1!$A$15</definedName>
    <definedName name="baslaTar">Sayfa1!$A$2</definedName>
    <definedName name="bitisTar">Sayfa1!$B$2</definedName>
    <definedName name="DovizCinsi">Sayfa1!$G$2</definedName>
    <definedName name="FormatSatir">Sayfa1!$A$4:$BP$4</definedName>
    <definedName name="RaporTarihi">Sayfa1!$H$2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4" i="1" l="1"/>
  <c r="BK4" i="1"/>
  <c r="BG4" i="1"/>
  <c r="BD4" i="1"/>
  <c r="AZ4" i="1"/>
  <c r="AW4" i="1"/>
  <c r="AR4" i="1"/>
  <c r="AO4" i="1"/>
  <c r="BC4" i="1" l="1"/>
  <c r="AV4" i="1"/>
  <c r="AN4" i="1"/>
  <c r="BJ4" i="1"/>
  <c r="BC10" i="1"/>
  <c r="BC11" i="1"/>
  <c r="X4" i="1"/>
  <c r="AL4" i="1" s="1"/>
  <c r="W4" i="1"/>
  <c r="AK4" i="1" s="1"/>
  <c r="U4" i="1"/>
  <c r="T4" i="1"/>
  <c r="O4" i="1"/>
  <c r="V4" i="1" s="1"/>
  <c r="L4" i="1"/>
  <c r="AE4" i="1" l="1"/>
  <c r="AA4" i="1"/>
  <c r="AB4" i="1"/>
  <c r="AD4" i="1"/>
  <c r="AJ4" i="1"/>
  <c r="K4" i="1"/>
  <c r="R4" i="1" s="1"/>
  <c r="Y4" i="1" s="1"/>
  <c r="S4" i="1"/>
  <c r="Z4" i="1" s="1"/>
  <c r="AC4" i="1"/>
  <c r="AG4" i="1" l="1"/>
  <c r="AF4" i="1" s="1"/>
  <c r="D11" i="1"/>
  <c r="AU11" i="1"/>
  <c r="AU10" i="1"/>
  <c r="AM11" i="1"/>
  <c r="AM10" i="1"/>
  <c r="AF11" i="1"/>
  <c r="AF10" i="1"/>
  <c r="E2" i="1"/>
  <c r="C2" i="1"/>
  <c r="D2" i="1"/>
  <c r="R11" i="1" s="1"/>
  <c r="BJ10" i="1" l="1"/>
  <c r="BJ11" i="1"/>
  <c r="K11" i="1"/>
  <c r="K10" i="1"/>
  <c r="R10" i="1"/>
</calcChain>
</file>

<file path=xl/sharedStrings.xml><?xml version="1.0" encoding="utf-8"?>
<sst xmlns="http://schemas.openxmlformats.org/spreadsheetml/2006/main" count="160" uniqueCount="82">
  <si>
    <t>Debtor Name</t>
  </si>
  <si>
    <t>Application ID</t>
  </si>
  <si>
    <t>Programme</t>
  </si>
  <si>
    <t>Project Number</t>
  </si>
  <si>
    <t>Case Identification Number</t>
  </si>
  <si>
    <t>OLAF Number</t>
  </si>
  <si>
    <t>Date of PACA</t>
  </si>
  <si>
    <t>Date of the debt</t>
  </si>
  <si>
    <t>Differences</t>
  </si>
  <si>
    <t>a</t>
  </si>
  <si>
    <t>b</t>
  </si>
  <si>
    <t>c</t>
  </si>
  <si>
    <t>d</t>
  </si>
  <si>
    <t>e</t>
  </si>
  <si>
    <t>f</t>
  </si>
  <si>
    <t>i</t>
  </si>
  <si>
    <t>l</t>
  </si>
  <si>
    <t>p</t>
  </si>
  <si>
    <t>q</t>
  </si>
  <si>
    <t>s</t>
  </si>
  <si>
    <t>t</t>
  </si>
  <si>
    <t>w</t>
  </si>
  <si>
    <t>Principal</t>
  </si>
  <si>
    <t>Interest</t>
  </si>
  <si>
    <t>Borçlunun adı</t>
  </si>
  <si>
    <t>Başvuru Kayıt Numarası</t>
  </si>
  <si>
    <t>Program</t>
  </si>
  <si>
    <t>Para birimi</t>
  </si>
  <si>
    <t>Sözleşme Numarası</t>
  </si>
  <si>
    <t>Borçlu No #</t>
  </si>
  <si>
    <t>Vaka Numarası</t>
  </si>
  <si>
    <t>Birincil İdari ve Yasal Bulgu Tarihi</t>
  </si>
  <si>
    <t>Geri Alım Kararı Tarihi</t>
  </si>
  <si>
    <t>Fark</t>
  </si>
  <si>
    <t>Total</t>
  </si>
  <si>
    <t>EU</t>
  </si>
  <si>
    <t>National</t>
  </si>
  <si>
    <t>Initial principal amount</t>
  </si>
  <si>
    <t>g=h+k</t>
  </si>
  <si>
    <t>Sub-total</t>
  </si>
  <si>
    <t>h=i+j</t>
  </si>
  <si>
    <t>j</t>
  </si>
  <si>
    <t>k=l+m</t>
  </si>
  <si>
    <t>m</t>
  </si>
  <si>
    <t>n=o+r</t>
  </si>
  <si>
    <t>o=p+q</t>
  </si>
  <si>
    <t>r=s+t</t>
  </si>
  <si>
    <t>u=v+y</t>
  </si>
  <si>
    <t>v=w+x</t>
  </si>
  <si>
    <t>x</t>
  </si>
  <si>
    <t>y=z+aa</t>
  </si>
  <si>
    <t>z</t>
  </si>
  <si>
    <t>aa</t>
  </si>
  <si>
    <t>ab+z</t>
  </si>
  <si>
    <t>ab=ac+ad</t>
  </si>
  <si>
    <t>ac</t>
  </si>
  <si>
    <t>ad</t>
  </si>
  <si>
    <t>z=x+y</t>
  </si>
  <si>
    <t>y</t>
  </si>
  <si>
    <t>ae</t>
  </si>
  <si>
    <t>af=ag+aj</t>
  </si>
  <si>
    <t>ag=ah+ai</t>
  </si>
  <si>
    <t>ah</t>
  </si>
  <si>
    <t>ai</t>
  </si>
  <si>
    <t>aj=ak+al</t>
  </si>
  <si>
    <t>ak</t>
  </si>
  <si>
    <t>al</t>
  </si>
  <si>
    <t>Date</t>
  </si>
  <si>
    <t>au=av+ay</t>
  </si>
  <si>
    <t>av=aw+ax</t>
  </si>
  <si>
    <t>aw</t>
  </si>
  <si>
    <t>ax</t>
  </si>
  <si>
    <t>ay=az+ba</t>
  </si>
  <si>
    <t>az</t>
  </si>
  <si>
    <t>ba</t>
  </si>
  <si>
    <t>bb=bc+bf</t>
  </si>
  <si>
    <t>bc=bd+be</t>
  </si>
  <si>
    <t>bd</t>
  </si>
  <si>
    <t>be</t>
  </si>
  <si>
    <t>bf=bg+bh</t>
  </si>
  <si>
    <t>bg</t>
  </si>
  <si>
    <t>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</si>
</sst>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62"/>
      <scheme val="minor"/>
    </font>
    <font>
      <sz val="11"/>
      <name val="Times New Roman"/>
      <family val="1"/>
      <charset val="162"/>
    </font>
    <font>
      <b/>
      <sz val="14"/>
      <name val="Times New Roman"/>
      <family val="1"/>
      <charset val="16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Fill="1" applyBorder="1" applyAlignment="1">
      <alignment horizontal="center" vertical="center" wrapText="1"/>
    </xf>
    <xf numFmtId="49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 vertical="center" wrapText="1"/>
    </xf>
    <xf numFmtId="4" fontId="1" fillId="0" borderId="1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14" fontId="0" fillId="3" borderId="3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Q15"/>
  <sheetViews>
    <sheetView tabSelected="1" zoomScale="90" zoomScaleNormal="90" workbookViewId="0">
      <pane xSplit="1" ySplit="13" topLeftCell="B14" activePane="bottomRight" state="frozen"/>
      <selection activeCell="A9" sqref="A9"/>
      <selection pane="topRight" activeCell="B9" sqref="B9"/>
      <selection pane="bottomLeft" activeCell="A14" sqref="A14"/>
      <selection pane="bottomRight" activeCell="A10" sqref="A10"/>
    </sheetView>
  </sheetViews>
  <sheetFormatPr defaultRowHeight="14.4" x14ac:dyDescent="0.3"/>
  <cols>
    <col min="1" max="1" width="21.5546875" customWidth="1"/>
    <col min="2" max="2" width="24.109375" customWidth="1"/>
    <col min="3" max="7" width="21.5546875" customWidth="1"/>
    <col min="8" max="8" width="31.109375" customWidth="1"/>
    <col min="9" max="68" width="21.5546875" customWidth="1"/>
  </cols>
  <sheetData>
    <row r="1" spans="1:69" hidden="1" x14ac:dyDescent="0.3"/>
    <row r="2" spans="1:69" hidden="1" x14ac:dyDescent="0.3">
      <c r="A2" s="10">
        <v>43101</v>
      </c>
      <c r="B2" s="10">
        <v>43465</v>
      </c>
      <c r="C2">
        <f>baslaTar-1</f>
        <v>43100</v>
      </c>
      <c r="D2" t="str">
        <f>TEXT(DAY(A2),"00")&amp;"."&amp;TEXT(MONTH(A2),"00")&amp;"."&amp;YEAR(A2)</f>
        <v>01.01.2018</v>
      </c>
      <c r="E2" t="str">
        <f>TEXT(DAY(B2),"00")&amp;"."&amp;TEXT(MONTH(B2),"00")&amp;"."&amp;YEAR(B2)</f>
        <v>31.12.2018</v>
      </c>
    </row>
    <row r="3" spans="1:69" hidden="1" x14ac:dyDescent="0.3"/>
    <row r="4" spans="1:69" hidden="1" x14ac:dyDescent="0.3">
      <c r="A4" s="5"/>
      <c r="B4" s="5"/>
      <c r="C4" s="6"/>
      <c r="D4" s="6"/>
      <c r="E4" s="7"/>
      <c r="F4" s="5"/>
      <c r="G4" s="5"/>
      <c r="H4" s="8"/>
      <c r="I4" s="8"/>
      <c r="J4" s="9"/>
      <c r="K4" s="9">
        <f>L4+O4</f>
        <v>0</v>
      </c>
      <c r="L4" s="9">
        <f>M4+N4</f>
        <v>0</v>
      </c>
      <c r="M4" s="9"/>
      <c r="N4" s="9"/>
      <c r="O4" s="9">
        <f>P4+Q4</f>
        <v>0</v>
      </c>
      <c r="P4" s="9"/>
      <c r="Q4" s="9"/>
      <c r="R4" s="9">
        <f t="shared" ref="R4:X4" si="0">K4</f>
        <v>0</v>
      </c>
      <c r="S4" s="9">
        <f t="shared" si="0"/>
        <v>0</v>
      </c>
      <c r="T4" s="9">
        <f t="shared" si="0"/>
        <v>0</v>
      </c>
      <c r="U4" s="9">
        <f t="shared" si="0"/>
        <v>0</v>
      </c>
      <c r="V4" s="9">
        <f t="shared" si="0"/>
        <v>0</v>
      </c>
      <c r="W4" s="9">
        <f t="shared" si="0"/>
        <v>0</v>
      </c>
      <c r="X4" s="9">
        <f t="shared" si="0"/>
        <v>0</v>
      </c>
      <c r="Y4" s="9">
        <f>K4-R4</f>
        <v>0</v>
      </c>
      <c r="Z4" s="9">
        <f t="shared" ref="Z4:AE4" si="1">L4-S4</f>
        <v>0</v>
      </c>
      <c r="AA4" s="9">
        <f t="shared" si="1"/>
        <v>0</v>
      </c>
      <c r="AB4" s="9">
        <f t="shared" si="1"/>
        <v>0</v>
      </c>
      <c r="AC4" s="9">
        <f t="shared" si="1"/>
        <v>0</v>
      </c>
      <c r="AD4" s="9">
        <f t="shared" si="1"/>
        <v>0</v>
      </c>
      <c r="AE4" s="9">
        <f t="shared" si="1"/>
        <v>0</v>
      </c>
      <c r="AF4" s="9">
        <f>AG4+AJ4</f>
        <v>0</v>
      </c>
      <c r="AG4" s="9">
        <f>AH4+AI4</f>
        <v>0</v>
      </c>
      <c r="AH4" s="9"/>
      <c r="AI4" s="9"/>
      <c r="AJ4" s="9">
        <f>AK4+AL4</f>
        <v>0</v>
      </c>
      <c r="AK4" s="9">
        <f>BO4-W4-AS4-BA4</f>
        <v>0</v>
      </c>
      <c r="AL4" s="9">
        <f>BP4-X4-AT4-BB4</f>
        <v>0</v>
      </c>
      <c r="AM4" s="8"/>
      <c r="AN4" s="9">
        <f>AO4+AR4</f>
        <v>0</v>
      </c>
      <c r="AO4" s="9">
        <f>AP4+AQ4</f>
        <v>0</v>
      </c>
      <c r="AP4" s="9"/>
      <c r="AQ4" s="9"/>
      <c r="AR4" s="9">
        <f>AS4+AT4</f>
        <v>0</v>
      </c>
      <c r="AS4" s="9"/>
      <c r="AT4" s="9"/>
      <c r="AU4" s="8"/>
      <c r="AV4" s="9">
        <f>AW4+AZ4</f>
        <v>0</v>
      </c>
      <c r="AW4" s="9">
        <f>AX4+AY4</f>
        <v>0</v>
      </c>
      <c r="AX4" s="9"/>
      <c r="AY4" s="9"/>
      <c r="AZ4" s="9">
        <f>BA4+BB4</f>
        <v>0</v>
      </c>
      <c r="BA4" s="9"/>
      <c r="BB4" s="9"/>
      <c r="BC4" s="9">
        <f>BD4+BG4</f>
        <v>0</v>
      </c>
      <c r="BD4" s="9">
        <f>BE4+BF4</f>
        <v>0</v>
      </c>
      <c r="BE4" s="9"/>
      <c r="BF4" s="9"/>
      <c r="BG4" s="9">
        <f>BH4+BI4</f>
        <v>0</v>
      </c>
      <c r="BH4" s="9"/>
      <c r="BI4" s="9"/>
      <c r="BJ4" s="9">
        <f>BK4+BN4</f>
        <v>0</v>
      </c>
      <c r="BK4" s="9">
        <f>BL4+BM4</f>
        <v>0</v>
      </c>
      <c r="BL4" s="9"/>
      <c r="BM4" s="9"/>
      <c r="BN4" s="9">
        <f>BO4+BP4</f>
        <v>0</v>
      </c>
      <c r="BO4" s="9"/>
      <c r="BP4" s="9"/>
    </row>
    <row r="5" spans="1:69" hidden="1" x14ac:dyDescent="0.3"/>
    <row r="6" spans="1:69" hidden="1" x14ac:dyDescent="0.3"/>
    <row r="7" spans="1:69" hidden="1" x14ac:dyDescent="0.3"/>
    <row r="8" spans="1:69" hidden="1" x14ac:dyDescent="0.3"/>
    <row r="10" spans="1:69" s="4" customFormat="1" ht="25.8" customHeight="1" x14ac:dyDescent="0.3">
      <c r="A10" s="11" t="s">
        <v>24</v>
      </c>
      <c r="B10" s="11" t="s">
        <v>25</v>
      </c>
      <c r="C10" s="11" t="s">
        <v>26</v>
      </c>
      <c r="D10" s="11" t="s">
        <v>27</v>
      </c>
      <c r="E10" s="11" t="s">
        <v>28</v>
      </c>
      <c r="F10" s="11" t="s">
        <v>29</v>
      </c>
      <c r="G10" s="11" t="s">
        <v>30</v>
      </c>
      <c r="H10" s="11" t="s">
        <v>31</v>
      </c>
      <c r="I10" s="11" t="s">
        <v>32</v>
      </c>
      <c r="J10" s="13"/>
      <c r="K10" s="15" t="str">
        <f>F2&amp; " tarihli Kalan Tutar"</f>
        <v xml:space="preserve"> tarihli Kalan Tutar</v>
      </c>
      <c r="L10" s="16"/>
      <c r="M10" s="16"/>
      <c r="N10" s="16"/>
      <c r="O10" s="16"/>
      <c r="P10" s="16"/>
      <c r="Q10" s="17"/>
      <c r="R10" s="18" t="str">
        <f>D2&amp;" tarihli Kalan Tutar"</f>
        <v>01.01.2018 tarihli Kalan Tutar</v>
      </c>
      <c r="S10" s="19"/>
      <c r="T10" s="19"/>
      <c r="U10" s="19"/>
      <c r="V10" s="19"/>
      <c r="W10" s="19"/>
      <c r="X10" s="20"/>
      <c r="Y10" s="18" t="s">
        <v>33</v>
      </c>
      <c r="Z10" s="19"/>
      <c r="AA10" s="19"/>
      <c r="AB10" s="19"/>
      <c r="AC10" s="19"/>
      <c r="AD10" s="19"/>
      <c r="AE10" s="20"/>
      <c r="AF10" s="18" t="str">
        <f>"Yeni oluşan Borç ("&amp;YEAR(B2)&amp;" yılı)"</f>
        <v>Yeni oluşan Borç (2018 yılı)</v>
      </c>
      <c r="AG10" s="19"/>
      <c r="AH10" s="19"/>
      <c r="AI10" s="19"/>
      <c r="AJ10" s="19"/>
      <c r="AK10" s="19"/>
      <c r="AL10" s="20"/>
      <c r="AM10" s="18" t="str">
        <f>"Geri alınan Tutar ("&amp;YEAR(B2)&amp;" yılı)"</f>
        <v>Geri alınan Tutar (2018 yılı)</v>
      </c>
      <c r="AN10" s="19"/>
      <c r="AO10" s="19"/>
      <c r="AP10" s="19"/>
      <c r="AQ10" s="19"/>
      <c r="AR10" s="19"/>
      <c r="AS10" s="19"/>
      <c r="AT10" s="20"/>
      <c r="AU10" s="14" t="str">
        <f>"Silinmiş Borç Tutarı ("&amp;YEAR(B2)&amp;" yılı)"</f>
        <v>Silinmiş Borç Tutarı (2018 yılı)</v>
      </c>
      <c r="AV10" s="14"/>
      <c r="AW10" s="14"/>
      <c r="AX10" s="14"/>
      <c r="AY10" s="14"/>
      <c r="AZ10" s="14"/>
      <c r="BA10" s="14"/>
      <c r="BB10" s="14"/>
      <c r="BC10" s="18" t="str">
        <f>"Düzeltme Tutarı ("&amp;YEAR(B2)&amp;" yılı)"</f>
        <v>Düzeltme Tutarı (2018 yılı)</v>
      </c>
      <c r="BD10" s="19"/>
      <c r="BE10" s="19"/>
      <c r="BF10" s="19"/>
      <c r="BG10" s="19"/>
      <c r="BH10" s="19"/>
      <c r="BI10" s="20"/>
      <c r="BJ10" s="14" t="str">
        <f>"Devam eden borçlar ("&amp;E2&amp;" Kapanış Tutarı)"</f>
        <v>Devam eden borçlar (31.12.2018 Kapanış Tutarı)</v>
      </c>
      <c r="BK10" s="14"/>
      <c r="BL10" s="14"/>
      <c r="BM10" s="14"/>
      <c r="BN10" s="14"/>
      <c r="BO10" s="14"/>
      <c r="BP10" s="14"/>
      <c r="BQ10" s="31"/>
    </row>
    <row r="11" spans="1:69" ht="27.6" customHeight="1" x14ac:dyDescent="0.3">
      <c r="A11" s="22" t="s">
        <v>0</v>
      </c>
      <c r="B11" s="22" t="s">
        <v>1</v>
      </c>
      <c r="C11" s="25" t="s">
        <v>2</v>
      </c>
      <c r="D11" s="25" t="str">
        <f>IF(MID(G2,1,1)="T","National Currency","EUR")</f>
        <v>EUR</v>
      </c>
      <c r="E11" s="25" t="s">
        <v>3</v>
      </c>
      <c r="F11" s="25" t="s">
        <v>4</v>
      </c>
      <c r="G11" s="25" t="s">
        <v>5</v>
      </c>
      <c r="H11" s="25" t="s">
        <v>6</v>
      </c>
      <c r="I11" s="25" t="s">
        <v>7</v>
      </c>
      <c r="J11" s="25" t="s">
        <v>37</v>
      </c>
      <c r="K11" s="21" t="str">
        <f>"Closing balance "&amp;F2</f>
        <v xml:space="preserve">Closing balance </v>
      </c>
      <c r="L11" s="21"/>
      <c r="M11" s="21"/>
      <c r="N11" s="21"/>
      <c r="O11" s="21"/>
      <c r="P11" s="21"/>
      <c r="Q11" s="21"/>
      <c r="R11" s="21" t="str">
        <f>"Opening balance "&amp;D2</f>
        <v>Opening balance 01.01.2018</v>
      </c>
      <c r="S11" s="21"/>
      <c r="T11" s="21"/>
      <c r="U11" s="21"/>
      <c r="V11" s="21"/>
      <c r="W11" s="21"/>
      <c r="X11" s="21"/>
      <c r="Y11" s="21" t="s">
        <v>8</v>
      </c>
      <c r="Z11" s="21"/>
      <c r="AA11" s="21"/>
      <c r="AB11" s="21"/>
      <c r="AC11" s="21"/>
      <c r="AD11" s="21"/>
      <c r="AE11" s="21"/>
      <c r="AF11" s="21" t="str">
        <f>"New debts year
(year "&amp;YEAR(B2)&amp;")"</f>
        <v>New debts year
(year 2018)</v>
      </c>
      <c r="AG11" s="21"/>
      <c r="AH11" s="21"/>
      <c r="AI11" s="21"/>
      <c r="AJ11" s="21"/>
      <c r="AK11" s="21"/>
      <c r="AL11" s="21"/>
      <c r="AM11" s="21" t="str">
        <f>"Recovered 
amount (year "&amp;YEAR(B2)&amp;")"</f>
        <v>Recovered 
amount (year 2018)</v>
      </c>
      <c r="AN11" s="21"/>
      <c r="AO11" s="21"/>
      <c r="AP11" s="21"/>
      <c r="AQ11" s="21"/>
      <c r="AR11" s="21"/>
      <c r="AS11" s="21"/>
      <c r="AT11" s="21"/>
      <c r="AU11" s="21" t="str">
        <f>"Amount Written off (year "&amp;YEAR(B2)&amp;")"</f>
        <v>Amount Written off (year 2018)</v>
      </c>
      <c r="AV11" s="21"/>
      <c r="AW11" s="21"/>
      <c r="AX11" s="21"/>
      <c r="AY11" s="21"/>
      <c r="AZ11" s="21"/>
      <c r="BA11" s="21"/>
      <c r="BB11" s="21"/>
      <c r="BC11" s="21" t="str">
        <f>"Corrected amount (year "&amp;YEAR(B2)&amp;")"</f>
        <v>Corrected amount (year 2018)</v>
      </c>
      <c r="BD11" s="21"/>
      <c r="BE11" s="21"/>
      <c r="BF11" s="21"/>
      <c r="BG11" s="21"/>
      <c r="BH11" s="21"/>
      <c r="BI11" s="21"/>
      <c r="BJ11" s="21" t="str">
        <f>"Amount for which recovery is on-going (Closing Balance-"&amp;E2&amp;")"</f>
        <v>Amount for which recovery is on-going (Closing Balance-31.12.2018)</v>
      </c>
      <c r="BK11" s="21"/>
      <c r="BL11" s="21"/>
      <c r="BM11" s="21"/>
      <c r="BN11" s="21"/>
      <c r="BO11" s="21"/>
      <c r="BP11" s="21"/>
      <c r="BQ11" s="32"/>
    </row>
    <row r="12" spans="1:69" ht="27.6" customHeight="1" x14ac:dyDescent="0.3">
      <c r="A12" s="23"/>
      <c r="B12" s="23"/>
      <c r="C12" s="26"/>
      <c r="D12" s="26"/>
      <c r="E12" s="26"/>
      <c r="F12" s="26"/>
      <c r="G12" s="26"/>
      <c r="H12" s="26"/>
      <c r="I12" s="26"/>
      <c r="J12" s="26"/>
      <c r="K12" s="25" t="s">
        <v>34</v>
      </c>
      <c r="L12" s="28" t="s">
        <v>22</v>
      </c>
      <c r="M12" s="29"/>
      <c r="N12" s="30"/>
      <c r="O12" s="28" t="s">
        <v>23</v>
      </c>
      <c r="P12" s="29"/>
      <c r="Q12" s="30"/>
      <c r="R12" s="25" t="s">
        <v>34</v>
      </c>
      <c r="S12" s="28" t="s">
        <v>22</v>
      </c>
      <c r="T12" s="29"/>
      <c r="U12" s="30"/>
      <c r="V12" s="28" t="s">
        <v>23</v>
      </c>
      <c r="W12" s="29"/>
      <c r="X12" s="30"/>
      <c r="Y12" s="25" t="s">
        <v>34</v>
      </c>
      <c r="Z12" s="28" t="s">
        <v>22</v>
      </c>
      <c r="AA12" s="29"/>
      <c r="AB12" s="30"/>
      <c r="AC12" s="28" t="s">
        <v>23</v>
      </c>
      <c r="AD12" s="29"/>
      <c r="AE12" s="30"/>
      <c r="AF12" s="25" t="s">
        <v>34</v>
      </c>
      <c r="AG12" s="28" t="s">
        <v>22</v>
      </c>
      <c r="AH12" s="29"/>
      <c r="AI12" s="30"/>
      <c r="AJ12" s="28" t="s">
        <v>23</v>
      </c>
      <c r="AK12" s="29"/>
      <c r="AL12" s="30"/>
      <c r="AM12" s="25" t="s">
        <v>67</v>
      </c>
      <c r="AN12" s="25" t="s">
        <v>34</v>
      </c>
      <c r="AO12" s="28" t="s">
        <v>22</v>
      </c>
      <c r="AP12" s="29"/>
      <c r="AQ12" s="30"/>
      <c r="AR12" s="28" t="s">
        <v>23</v>
      </c>
      <c r="AS12" s="29"/>
      <c r="AT12" s="30"/>
      <c r="AU12" s="25" t="s">
        <v>67</v>
      </c>
      <c r="AV12" s="25" t="s">
        <v>34</v>
      </c>
      <c r="AW12" s="28" t="s">
        <v>22</v>
      </c>
      <c r="AX12" s="29"/>
      <c r="AY12" s="30"/>
      <c r="AZ12" s="28" t="s">
        <v>23</v>
      </c>
      <c r="BA12" s="29"/>
      <c r="BB12" s="30"/>
      <c r="BC12" s="25" t="s">
        <v>34</v>
      </c>
      <c r="BD12" s="28" t="s">
        <v>22</v>
      </c>
      <c r="BE12" s="29"/>
      <c r="BF12" s="30"/>
      <c r="BG12" s="28" t="s">
        <v>23</v>
      </c>
      <c r="BH12" s="29"/>
      <c r="BI12" s="30"/>
      <c r="BJ12" s="25" t="s">
        <v>34</v>
      </c>
      <c r="BK12" s="28" t="s">
        <v>22</v>
      </c>
      <c r="BL12" s="29"/>
      <c r="BM12" s="30"/>
      <c r="BN12" s="28" t="s">
        <v>23</v>
      </c>
      <c r="BO12" s="29"/>
      <c r="BP12" s="30"/>
      <c r="BQ12" s="32"/>
    </row>
    <row r="13" spans="1:69" x14ac:dyDescent="0.3">
      <c r="A13" s="24"/>
      <c r="B13" s="24"/>
      <c r="C13" s="27"/>
      <c r="D13" s="27"/>
      <c r="E13" s="27"/>
      <c r="F13" s="27"/>
      <c r="G13" s="27"/>
      <c r="H13" s="27"/>
      <c r="I13" s="27"/>
      <c r="J13" s="27"/>
      <c r="K13" s="27"/>
      <c r="L13" s="12" t="s">
        <v>39</v>
      </c>
      <c r="M13" s="12" t="s">
        <v>35</v>
      </c>
      <c r="N13" s="12" t="s">
        <v>36</v>
      </c>
      <c r="O13" s="12" t="s">
        <v>39</v>
      </c>
      <c r="P13" s="12" t="s">
        <v>35</v>
      </c>
      <c r="Q13" s="12" t="s">
        <v>36</v>
      </c>
      <c r="R13" s="27"/>
      <c r="S13" s="12" t="s">
        <v>39</v>
      </c>
      <c r="T13" s="12" t="s">
        <v>35</v>
      </c>
      <c r="U13" s="12" t="s">
        <v>36</v>
      </c>
      <c r="V13" s="12" t="s">
        <v>39</v>
      </c>
      <c r="W13" s="12" t="s">
        <v>35</v>
      </c>
      <c r="X13" s="12" t="s">
        <v>36</v>
      </c>
      <c r="Y13" s="27"/>
      <c r="Z13" s="12" t="s">
        <v>39</v>
      </c>
      <c r="AA13" s="12" t="s">
        <v>35</v>
      </c>
      <c r="AB13" s="12" t="s">
        <v>36</v>
      </c>
      <c r="AC13" s="12" t="s">
        <v>39</v>
      </c>
      <c r="AD13" s="12" t="s">
        <v>35</v>
      </c>
      <c r="AE13" s="12" t="s">
        <v>36</v>
      </c>
      <c r="AF13" s="27"/>
      <c r="AG13" s="12" t="s">
        <v>39</v>
      </c>
      <c r="AH13" s="12" t="s">
        <v>35</v>
      </c>
      <c r="AI13" s="12" t="s">
        <v>36</v>
      </c>
      <c r="AJ13" s="12" t="s">
        <v>39</v>
      </c>
      <c r="AK13" s="12" t="s">
        <v>35</v>
      </c>
      <c r="AL13" s="12" t="s">
        <v>36</v>
      </c>
      <c r="AM13" s="27"/>
      <c r="AN13" s="27"/>
      <c r="AO13" s="12" t="s">
        <v>39</v>
      </c>
      <c r="AP13" s="12" t="s">
        <v>35</v>
      </c>
      <c r="AQ13" s="12" t="s">
        <v>36</v>
      </c>
      <c r="AR13" s="12" t="s">
        <v>39</v>
      </c>
      <c r="AS13" s="12" t="s">
        <v>35</v>
      </c>
      <c r="AT13" s="12" t="s">
        <v>36</v>
      </c>
      <c r="AU13" s="27"/>
      <c r="AV13" s="27"/>
      <c r="AW13" s="12" t="s">
        <v>39</v>
      </c>
      <c r="AX13" s="12" t="s">
        <v>35</v>
      </c>
      <c r="AY13" s="12" t="s">
        <v>36</v>
      </c>
      <c r="AZ13" s="12" t="s">
        <v>39</v>
      </c>
      <c r="BA13" s="12" t="s">
        <v>35</v>
      </c>
      <c r="BB13" s="12" t="s">
        <v>36</v>
      </c>
      <c r="BC13" s="27"/>
      <c r="BD13" s="12" t="s">
        <v>39</v>
      </c>
      <c r="BE13" s="12" t="s">
        <v>35</v>
      </c>
      <c r="BF13" s="12" t="s">
        <v>36</v>
      </c>
      <c r="BG13" s="12" t="s">
        <v>39</v>
      </c>
      <c r="BH13" s="12" t="s">
        <v>35</v>
      </c>
      <c r="BI13" s="12" t="s">
        <v>36</v>
      </c>
      <c r="BJ13" s="27"/>
      <c r="BK13" s="12" t="s">
        <v>39</v>
      </c>
      <c r="BL13" s="12" t="s">
        <v>35</v>
      </c>
      <c r="BM13" s="12" t="s">
        <v>36</v>
      </c>
      <c r="BN13" s="12" t="s">
        <v>39</v>
      </c>
      <c r="BO13" s="12" t="s">
        <v>35</v>
      </c>
      <c r="BP13" s="12" t="s">
        <v>36</v>
      </c>
      <c r="BQ13" s="32"/>
    </row>
    <row r="14" spans="1:69" ht="17.399999999999999" x14ac:dyDescent="0.3">
      <c r="A14" s="2"/>
      <c r="B14" s="2"/>
      <c r="C14" s="3" t="s">
        <v>9</v>
      </c>
      <c r="D14" s="3" t="s">
        <v>10</v>
      </c>
      <c r="E14" s="3" t="s">
        <v>9</v>
      </c>
      <c r="F14" s="3" t="s">
        <v>10</v>
      </c>
      <c r="G14" s="3" t="s">
        <v>11</v>
      </c>
      <c r="H14" s="3" t="s">
        <v>12</v>
      </c>
      <c r="I14" s="3" t="s">
        <v>13</v>
      </c>
      <c r="J14" s="3" t="s">
        <v>14</v>
      </c>
      <c r="K14" s="3" t="s">
        <v>38</v>
      </c>
      <c r="L14" s="3" t="s">
        <v>40</v>
      </c>
      <c r="M14" s="3" t="s">
        <v>15</v>
      </c>
      <c r="N14" s="3" t="s">
        <v>41</v>
      </c>
      <c r="O14" s="3" t="s">
        <v>42</v>
      </c>
      <c r="P14" s="3" t="s">
        <v>16</v>
      </c>
      <c r="Q14" s="3" t="s">
        <v>43</v>
      </c>
      <c r="R14" s="3" t="s">
        <v>44</v>
      </c>
      <c r="S14" s="3" t="s">
        <v>45</v>
      </c>
      <c r="T14" s="3" t="s">
        <v>17</v>
      </c>
      <c r="U14" s="3" t="s">
        <v>18</v>
      </c>
      <c r="V14" s="3" t="s">
        <v>46</v>
      </c>
      <c r="W14" s="3" t="s">
        <v>19</v>
      </c>
      <c r="X14" s="3" t="s">
        <v>20</v>
      </c>
      <c r="Y14" s="3" t="s">
        <v>47</v>
      </c>
      <c r="Z14" s="3" t="s">
        <v>48</v>
      </c>
      <c r="AA14" s="3" t="s">
        <v>21</v>
      </c>
      <c r="AB14" s="3" t="s">
        <v>49</v>
      </c>
      <c r="AC14" s="3" t="s">
        <v>50</v>
      </c>
      <c r="AD14" s="3" t="s">
        <v>51</v>
      </c>
      <c r="AE14" s="3" t="s">
        <v>52</v>
      </c>
      <c r="AF14" s="3" t="s">
        <v>53</v>
      </c>
      <c r="AG14" s="3" t="s">
        <v>54</v>
      </c>
      <c r="AH14" s="3" t="s">
        <v>55</v>
      </c>
      <c r="AI14" s="3" t="s">
        <v>56</v>
      </c>
      <c r="AJ14" s="3" t="s">
        <v>57</v>
      </c>
      <c r="AK14" s="3" t="s">
        <v>49</v>
      </c>
      <c r="AL14" s="3" t="s">
        <v>58</v>
      </c>
      <c r="AM14" s="3" t="s">
        <v>59</v>
      </c>
      <c r="AN14" s="3" t="s">
        <v>60</v>
      </c>
      <c r="AO14" s="3" t="s">
        <v>61</v>
      </c>
      <c r="AP14" s="3" t="s">
        <v>62</v>
      </c>
      <c r="AQ14" s="3" t="s">
        <v>63</v>
      </c>
      <c r="AR14" s="3" t="s">
        <v>64</v>
      </c>
      <c r="AS14" s="3" t="s">
        <v>65</v>
      </c>
      <c r="AT14" s="3" t="s">
        <v>66</v>
      </c>
      <c r="AU14" s="3" t="s">
        <v>59</v>
      </c>
      <c r="AV14" s="3" t="s">
        <v>60</v>
      </c>
      <c r="AW14" s="3" t="s">
        <v>61</v>
      </c>
      <c r="AX14" s="3" t="s">
        <v>62</v>
      </c>
      <c r="AY14" s="3" t="s">
        <v>63</v>
      </c>
      <c r="AZ14" s="3" t="s">
        <v>64</v>
      </c>
      <c r="BA14" s="3" t="s">
        <v>65</v>
      </c>
      <c r="BB14" s="3" t="s">
        <v>66</v>
      </c>
      <c r="BC14" s="3" t="s">
        <v>68</v>
      </c>
      <c r="BD14" s="3" t="s">
        <v>69</v>
      </c>
      <c r="BE14" s="3" t="s">
        <v>70</v>
      </c>
      <c r="BF14" s="3" t="s">
        <v>71</v>
      </c>
      <c r="BG14" s="3" t="s">
        <v>72</v>
      </c>
      <c r="BH14" s="3" t="s">
        <v>73</v>
      </c>
      <c r="BI14" s="3" t="s">
        <v>74</v>
      </c>
      <c r="BJ14" s="1" t="s">
        <v>75</v>
      </c>
      <c r="BK14" s="12" t="s">
        <v>76</v>
      </c>
      <c r="BL14" s="12" t="s">
        <v>77</v>
      </c>
      <c r="BM14" s="12" t="s">
        <v>78</v>
      </c>
      <c r="BN14" s="12" t="s">
        <v>79</v>
      </c>
      <c r="BO14" s="12" t="s">
        <v>80</v>
      </c>
      <c r="BP14" s="3" t="s">
        <v>81</v>
      </c>
      <c r="BQ14" s="32"/>
    </row>
    <row r="15" spans="1:69" ht="16.8" customHeight="1" x14ac:dyDescent="0.3"/>
  </sheetData>
  <mergeCells count="52">
    <mergeCell ref="BK12:BM12"/>
    <mergeCell ref="BN12:BP12"/>
    <mergeCell ref="BC12:BC13"/>
    <mergeCell ref="BD12:BF12"/>
    <mergeCell ref="BG12:BI12"/>
    <mergeCell ref="BJ12:BJ13"/>
    <mergeCell ref="AU12:AU13"/>
    <mergeCell ref="AW12:AY12"/>
    <mergeCell ref="AZ12:BB12"/>
    <mergeCell ref="AN12:AN13"/>
    <mergeCell ref="AV12:AV13"/>
    <mergeCell ref="AG12:AI12"/>
    <mergeCell ref="AJ12:AL12"/>
    <mergeCell ref="AM12:AM13"/>
    <mergeCell ref="AO12:AQ12"/>
    <mergeCell ref="AR12:AT12"/>
    <mergeCell ref="V12:X12"/>
    <mergeCell ref="Y12:Y13"/>
    <mergeCell ref="Z12:AB12"/>
    <mergeCell ref="AC12:AE12"/>
    <mergeCell ref="AF12:AF13"/>
    <mergeCell ref="O12:Q12"/>
    <mergeCell ref="K12:K13"/>
    <mergeCell ref="J11:J13"/>
    <mergeCell ref="R12:R13"/>
    <mergeCell ref="S12:U12"/>
    <mergeCell ref="F11:F13"/>
    <mergeCell ref="G11:G13"/>
    <mergeCell ref="H11:H13"/>
    <mergeCell ref="I11:I13"/>
    <mergeCell ref="L12:N12"/>
    <mergeCell ref="A11:A13"/>
    <mergeCell ref="B11:B13"/>
    <mergeCell ref="C11:C13"/>
    <mergeCell ref="D11:D13"/>
    <mergeCell ref="E11:E13"/>
    <mergeCell ref="AU11:BB11"/>
    <mergeCell ref="BJ11:BP11"/>
    <mergeCell ref="K11:Q11"/>
    <mergeCell ref="R11:X11"/>
    <mergeCell ref="Y11:AE11"/>
    <mergeCell ref="AF11:AL11"/>
    <mergeCell ref="BC11:BI11"/>
    <mergeCell ref="AM11:AT11"/>
    <mergeCell ref="AU10:BB10"/>
    <mergeCell ref="BJ10:BP10"/>
    <mergeCell ref="K10:Q10"/>
    <mergeCell ref="R10:X10"/>
    <mergeCell ref="Y10:AE10"/>
    <mergeCell ref="AF10:AL10"/>
    <mergeCell ref="BC10:BI10"/>
    <mergeCell ref="AM10:AT10"/>
  </mergeCells>
  <pageMargins left="0.25" right="0.25" top="0.75" bottom="0.75" header="0.3" footer="0.3"/>
  <pageSetup paperSize="9" scale="25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6</vt:i4>
      </vt:variant>
    </vt:vector>
  </HeadingPairs>
  <TitlesOfParts>
    <vt:vector size="7" baseType="lpstr">
      <vt:lpstr>Sayfa1</vt:lpstr>
      <vt:lpstr>BaslaSatir</vt:lpstr>
      <vt:lpstr>baslaTar</vt:lpstr>
      <vt:lpstr>bitisTar</vt:lpstr>
      <vt:lpstr>DovizCinsi</vt:lpstr>
      <vt:lpstr>FormatSatir</vt:lpstr>
      <vt:lpstr>RaporTarihi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2019-01-01T15:21:56Z</cp:lastPrinted>
  <dcterms:created xsi:type="dcterms:W3CDTF">2019-01-01T14:13:54Z</dcterms:created>
  <dcterms:modified xsi:type="dcterms:W3CDTF">2021-01-10T17:51:06Z</dcterms:modified>
</cp:coreProperties>
</file>