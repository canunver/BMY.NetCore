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/>
  </bookViews>
  <sheets>
    <sheet name="6403" sheetId="1" r:id="rId1"/>
  </sheets>
  <definedNames>
    <definedName name="DO_101">'6403'!$B$19</definedName>
    <definedName name="DO_102">'6403'!$B$20</definedName>
    <definedName name="DO_103">'6403'!$B$21</definedName>
    <definedName name="DO_201">'6403'!$B$22</definedName>
    <definedName name="DO_202">'6403'!$B$23</definedName>
    <definedName name="DO_302">'6403'!$B$24</definedName>
    <definedName name="DO_501">'6403'!$B$25</definedName>
    <definedName name="Donem">'6403'!$H$12</definedName>
    <definedName name="GA_A_101">'6403'!$C$48</definedName>
    <definedName name="GA_A_102">'6403'!$C$49</definedName>
    <definedName name="GA_A_103">'6403'!$C$50</definedName>
    <definedName name="GA_A_201">'6403'!$C$51</definedName>
    <definedName name="GA_A_202">'6403'!$C$52</definedName>
    <definedName name="GA_A_302">'6403'!$C$53</definedName>
    <definedName name="GA_A_501">'6403'!$C$54</definedName>
    <definedName name="GA_T_101">'6403'!$B$48</definedName>
    <definedName name="GA_T_102">'6403'!$B$49</definedName>
    <definedName name="GA_T_103">'6403'!$B$50</definedName>
    <definedName name="GA_T_201">'6403'!$B$51</definedName>
    <definedName name="GA_T_202">'6403'!$B$52</definedName>
    <definedName name="GA_T_302">'6403'!$B$53</definedName>
    <definedName name="GA_T_501">'6403'!$B$54</definedName>
    <definedName name="gozdenGeciren">'6403'!$F$8</definedName>
    <definedName name="HazirlamaTarihi">'6403'!$A$2</definedName>
    <definedName name="hazirlayan">'6403'!$A$8</definedName>
    <definedName name="KayitSayisi1">'6403'!$B$7</definedName>
    <definedName name="KayitSayisi2">'6403'!$B$8</definedName>
    <definedName name="kontrolEden">'6403'!$C$8</definedName>
    <definedName name="_xlnm.Print_Area" localSheetId="0">'6403'!$A$1:$K$67</definedName>
    <definedName name="_xlnm.Print_Titles" localSheetId="0">'6403'!$1:$10</definedName>
    <definedName name="Z_30C70F83_F339_495D_B51C_F452948E6954_.wvu.PrintArea" localSheetId="0" hidden="1">'6403'!$A$1:$K$67</definedName>
    <definedName name="Z_30C70F83_F339_495D_B51C_F452948E6954_.wvu.PrintTitles" localSheetId="0" hidden="1">'6403'!$1:$10</definedName>
    <definedName name="Z_44C4D77F_47B8_4BC8_9AE5_2F1F4733418A_.wvu.PrintArea" localSheetId="0" hidden="1">'6403'!$A$1:$K$67</definedName>
    <definedName name="Z_44C4D77F_47B8_4BC8_9AE5_2F1F4733418A_.wvu.PrintTitles" localSheetId="0" hidden="1">'6403'!$1:$10</definedName>
    <definedName name="Z_9D9A0009_90F2_4EE5_8638_E6DF44913311_.wvu.PrintArea" localSheetId="0" hidden="1">'6403'!$A$1:$K$67</definedName>
    <definedName name="Z_9D9A0009_90F2_4EE5_8638_E6DF44913311_.wvu.PrintTitles" localSheetId="0" hidden="1">'6403'!$1:$10</definedName>
    <definedName name="Z_A9A14C41_2CA9_4BEC_B363_398365CC1D54_.wvu.PrintArea" localSheetId="0" hidden="1">'6403'!$A$1:$K$67</definedName>
    <definedName name="Z_A9A14C41_2CA9_4BEC_B363_398365CC1D54_.wvu.PrintTitles" localSheetId="0" hidden="1">'6403'!$1:$10</definedName>
    <definedName name="Z_B30FE910_0AD5_4C1E_A436_4702426EBE7A_.wvu.PrintArea" localSheetId="0" hidden="1">'6403'!$A$1:$K$67</definedName>
    <definedName name="Z_B30FE910_0AD5_4C1E_A436_4702426EBE7A_.wvu.PrintTitles" localSheetId="0" hidden="1">'6403'!$1:$10</definedName>
  </definedNames>
  <calcPr calcId="152511"/>
  <customWorkbookViews>
    <customWorkbookView name="Can - Kişisel Görünüm" guid="{9D9A0009-90F2-4EE5-8638-E6DF44913311}" mergeInterval="0" personalView="1" maximized="1" xWindow="-8" yWindow="-8" windowWidth="1616" windowHeight="876" activeSheetId="1"/>
    <customWorkbookView name="Rabia KIYMAZ - Kişisel Görünüm" guid="{A9A14C41-2CA9-4BEC-B363-398365CC1D54}" mergeInterval="0" personalView="1" maximized="1" xWindow="-8" yWindow="-8" windowWidth="1936" windowHeight="1056" activeSheetId="1"/>
    <customWorkbookView name="Huriye Nisa Aktaş - Kişisel Görünüm" guid="{44C4D77F-47B8-4BC8-9AE5-2F1F4733418A}" mergeInterval="0" personalView="1" maximized="1" xWindow="-8" yWindow="-8" windowWidth="1936" windowHeight="1056" activeSheetId="1"/>
    <customWorkbookView name="TKDK - Kişisel Görünüm" guid="{30C70F83-F339-495D-B51C-F452948E6954}" mergeInterval="0" personalView="1" maximized="1" xWindow="1" yWindow="1" windowWidth="1916" windowHeight="861" activeSheetId="1"/>
    <customWorkbookView name="Neslihan İLARSLAN - Kişisel Görünüm" guid="{B30FE910-0AD5-4C1E-A436-4702426EBE7A}" mergeInterval="0" personalView="1" maximized="1" xWindow="-8" yWindow="-8" windowWidth="1936" windowHeight="1056" activeSheetId="1"/>
    <customWorkbookView name="Şeniz ASLAN - Kişisel Görünüm" guid="{CD80D8D3-BB74-491E-969D-3F4A25E60C0D}" mergeInterval="0" personalView="1" maximized="1" xWindow="-8" yWindow="-8" windowWidth="1382" windowHeight="744" activeSheetId="1"/>
    <customWorkbookView name="Fethullah ÖZÇOBAN - Kişisel Görünüm" guid="{3D8D3A44-8FF1-44E5-9226-BF952583CB31}" mergeInterval="0" personalView="1" maximized="1" windowWidth="1276" windowHeight="810" activeSheetId="1"/>
    <customWorkbookView name="Funda YAZAR - Kişisel Görünüm" guid="{8EB00C77-8F4F-4595-BC90-49881368F25B}" mergeInterval="0" personalView="1" maximized="1" xWindow="-8" yWindow="-8" windowWidth="1382" windowHeight="744" activeSheetId="1"/>
  </customWorkbookViews>
</workbook>
</file>

<file path=xl/calcChain.xml><?xml version="1.0" encoding="utf-8"?>
<calcChain xmlns="http://schemas.openxmlformats.org/spreadsheetml/2006/main">
  <c r="A9" i="1" l="1"/>
  <c r="C9" i="1" l="1"/>
  <c r="F9" i="1"/>
  <c r="G19" i="1"/>
  <c r="H19" i="1" s="1"/>
  <c r="G20" i="1"/>
  <c r="H20" i="1" s="1"/>
  <c r="G21" i="1"/>
  <c r="H21" i="1" s="1"/>
  <c r="G22" i="1"/>
  <c r="H22" i="1"/>
  <c r="G23" i="1"/>
  <c r="H23" i="1" s="1"/>
  <c r="G24" i="1"/>
  <c r="H24" i="1" s="1"/>
  <c r="G25" i="1"/>
  <c r="H25" i="1" s="1"/>
  <c r="B26" i="1"/>
  <c r="D26" i="1"/>
  <c r="F26" i="1"/>
  <c r="B33" i="1"/>
  <c r="B34" i="1" s="1"/>
  <c r="G33" i="1"/>
  <c r="G34" i="1" s="1"/>
  <c r="D34" i="1"/>
  <c r="F34" i="1"/>
  <c r="F48" i="1"/>
  <c r="I48" i="1"/>
  <c r="J48" i="1" s="1"/>
  <c r="F49" i="1"/>
  <c r="I49" i="1"/>
  <c r="J49" i="1"/>
  <c r="F50" i="1"/>
  <c r="I50" i="1"/>
  <c r="J50" i="1" s="1"/>
  <c r="F51" i="1"/>
  <c r="I51" i="1"/>
  <c r="J51" i="1" s="1"/>
  <c r="F52" i="1"/>
  <c r="I52" i="1"/>
  <c r="J52" i="1"/>
  <c r="F53" i="1"/>
  <c r="I53" i="1"/>
  <c r="J53" i="1" s="1"/>
  <c r="F54" i="1"/>
  <c r="I54" i="1"/>
  <c r="J54" i="1" s="1"/>
  <c r="B55" i="1"/>
  <c r="C55" i="1"/>
  <c r="E55" i="1"/>
  <c r="H55" i="1"/>
  <c r="B63" i="1"/>
  <c r="J63" i="1" s="1"/>
  <c r="F63" i="1"/>
  <c r="I63" i="1"/>
  <c r="C64" i="1"/>
  <c r="F64" i="1" s="1"/>
  <c r="E64" i="1"/>
  <c r="H64" i="1"/>
  <c r="I64" i="1" l="1"/>
  <c r="B64" i="1"/>
  <c r="J64" i="1" s="1"/>
  <c r="I55" i="1"/>
  <c r="J55" i="1" s="1"/>
  <c r="F55" i="1"/>
  <c r="H34" i="1"/>
  <c r="H33" i="1"/>
  <c r="H26" i="1"/>
  <c r="G26" i="1"/>
</calcChain>
</file>

<file path=xl/sharedStrings.xml><?xml version="1.0" encoding="utf-8"?>
<sst xmlns="http://schemas.openxmlformats.org/spreadsheetml/2006/main" count="177" uniqueCount="91">
  <si>
    <t>Visa</t>
  </si>
  <si>
    <t>Grand Total</t>
  </si>
  <si>
    <t>Measure / Axis</t>
  </si>
  <si>
    <t>(1)</t>
  </si>
  <si>
    <t>(3)</t>
  </si>
  <si>
    <t>(4)</t>
  </si>
  <si>
    <t>(6)</t>
  </si>
  <si>
    <t>N/A</t>
  </si>
  <si>
    <t>Explanation of Differences</t>
  </si>
  <si>
    <t>(8)</t>
  </si>
  <si>
    <t>Actions taken (dates and details):</t>
  </si>
  <si>
    <t xml:space="preserve">Reviewed by: </t>
  </si>
  <si>
    <t>(11)</t>
  </si>
  <si>
    <t>Prepared by:</t>
  </si>
  <si>
    <t>ARDSI</t>
  </si>
  <si>
    <t xml:space="preserve">Controlled by: </t>
  </si>
  <si>
    <t xml:space="preserve">Balance calculated  </t>
  </si>
  <si>
    <t>Corresponding  account in ARDSI books</t>
  </si>
  <si>
    <t xml:space="preserve">Community Contribution </t>
  </si>
  <si>
    <t>(2)</t>
  </si>
  <si>
    <t>(7)</t>
  </si>
  <si>
    <t xml:space="preserve">National Contribution </t>
  </si>
  <si>
    <t>(9)</t>
  </si>
  <si>
    <t xml:space="preserve">Amount, EUR </t>
  </si>
  <si>
    <t>Public expenditure, EUR</t>
  </si>
  <si>
    <r>
      <t xml:space="preserve">Reconciliation to ARDSI Accounting Records - the </t>
    </r>
    <r>
      <rPr>
        <b/>
        <u/>
        <sz val="9"/>
        <rFont val="Arial"/>
        <family val="2"/>
      </rPr>
      <t>Expenditure</t>
    </r>
    <r>
      <rPr>
        <b/>
        <sz val="9"/>
        <rFont val="Arial"/>
        <family val="2"/>
      </rPr>
      <t xml:space="preserve"> Information</t>
    </r>
  </si>
  <si>
    <r>
      <t xml:space="preserve">Table 2: </t>
    </r>
    <r>
      <rPr>
        <sz val="10"/>
        <rFont val="Arial"/>
        <charset val="186"/>
      </rPr>
      <t xml:space="preserve"> Reconciliation of the Recoveries/Corrections in the Quarterly Declaration D-1 to the ARDSI accounts</t>
    </r>
  </si>
  <si>
    <t>Information on the Face of the Declaration - Column "Recoveries/corrections"</t>
  </si>
  <si>
    <t>Information on the Face of the Declaration : Column "Payments"</t>
  </si>
  <si>
    <t>IPARD, EUR</t>
  </si>
  <si>
    <t>Reconciliation to ARDSI Accounting Records - Deductions form Expenditure</t>
  </si>
  <si>
    <t>Public Expenditure, EUR</t>
  </si>
  <si>
    <t>Balance calculated, EUR</t>
  </si>
  <si>
    <t>(5)</t>
  </si>
  <si>
    <t xml:space="preserve">Public expenditure Contribution </t>
  </si>
  <si>
    <t xml:space="preserve">Total </t>
  </si>
  <si>
    <t>Recoveries recorded during the period, EUR</t>
  </si>
  <si>
    <t>(9)=(5)+(8)</t>
  </si>
  <si>
    <t xml:space="preserve"> (10)= (2)-(9)</t>
  </si>
  <si>
    <t xml:space="preserve"> (6)= (3)-(5)</t>
  </si>
  <si>
    <t xml:space="preserve"> Explanation of the differences (Table 2): </t>
  </si>
  <si>
    <t xml:space="preserve">Ref # </t>
  </si>
  <si>
    <t xml:space="preserve"> Explanation of the differences (Table 1) </t>
  </si>
  <si>
    <t>In Euros</t>
  </si>
  <si>
    <t>In Turkish liras</t>
  </si>
  <si>
    <r>
      <t xml:space="preserve"> ACCOUNTING                                                                                                                                                                                  </t>
    </r>
    <r>
      <rPr>
        <b/>
        <sz val="12"/>
        <color indexed="9"/>
        <rFont val="Tahoma"/>
        <family val="2"/>
        <charset val="162"/>
      </rPr>
      <t xml:space="preserve"> </t>
    </r>
  </si>
  <si>
    <t>Total Public Expenditure, EUR</t>
  </si>
  <si>
    <t xml:space="preserve"> (7)=(4)+(6)</t>
  </si>
  <si>
    <t xml:space="preserve"> (8)=(2)-(7)</t>
  </si>
  <si>
    <t>Control: (8)=zero</t>
  </si>
  <si>
    <t>Grand Total TRY Amount on Face of Declaration</t>
  </si>
  <si>
    <t>Grand total TRY amount on face of declaration</t>
  </si>
  <si>
    <t>Account in ARDSI books</t>
  </si>
  <si>
    <t xml:space="preserve">Account in ARDSI books </t>
  </si>
  <si>
    <t>201010.101</t>
  </si>
  <si>
    <t>201010.102</t>
  </si>
  <si>
    <t>201010.103</t>
  </si>
  <si>
    <t>201010.201</t>
  </si>
  <si>
    <t>201010.202</t>
  </si>
  <si>
    <t>201010.302</t>
  </si>
  <si>
    <t>201020.101</t>
  </si>
  <si>
    <t>201020.102</t>
  </si>
  <si>
    <t>201020.103</t>
  </si>
  <si>
    <t>201020.201</t>
  </si>
  <si>
    <t>201020.202</t>
  </si>
  <si>
    <t>201020.302</t>
  </si>
  <si>
    <t>Public Expenditure, TRY</t>
  </si>
  <si>
    <t xml:space="preserve">Amount, TRY </t>
  </si>
  <si>
    <t>Total Public Expenditure, TRY</t>
  </si>
  <si>
    <t>In Turkish Liras</t>
  </si>
  <si>
    <t>971100+ 971300</t>
  </si>
  <si>
    <t>971200+ 971400</t>
  </si>
  <si>
    <t>6403  RECONCILIATION FORM D-1 TO THE ARDSI RECORDS</t>
  </si>
  <si>
    <t>101      Investments in agricultural holdings</t>
  </si>
  <si>
    <t>102      Support for the setting-up of producer groups</t>
  </si>
  <si>
    <t>103      Investments in the processing and marketing of agriculture and fishery products</t>
  </si>
  <si>
    <t>201      Actions to improve environment and countryside</t>
  </si>
  <si>
    <t>202      Preparation and implementation of local rural development strategies</t>
  </si>
  <si>
    <t>302      Diversification and development of rural economic activities</t>
  </si>
  <si>
    <t>501      Technical Assistance</t>
  </si>
  <si>
    <t>201010.501</t>
  </si>
  <si>
    <t>201020.501</t>
  </si>
  <si>
    <t>20521 + 9713</t>
  </si>
  <si>
    <t>20522 + 9714</t>
  </si>
  <si>
    <t>Public expenditure, TL</t>
  </si>
  <si>
    <t>IPARD, TL</t>
  </si>
  <si>
    <t>Recoveries recorded during the period, TL</t>
  </si>
  <si>
    <t>Balance calculated, TL</t>
  </si>
  <si>
    <t>VERSION 10.5.01</t>
  </si>
  <si>
    <r>
      <t xml:space="preserve">Table 1: </t>
    </r>
    <r>
      <rPr>
        <sz val="10"/>
        <rFont val="Arial"/>
        <family val="2"/>
      </rPr>
      <t xml:space="preserve"> Reconciliation of the public expenditure information in the quarterly declaration D-1 to the ARDSI accounts</t>
    </r>
  </si>
  <si>
    <t xml:space="preserve">Period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</si>
</sst>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k_r_-;\-* #,##0.00\ _k_r_-;_-* &quot;-&quot;??\ _k_r_-;_-@_-"/>
    <numFmt numFmtId="165" formatCode="0_ ;[Red]\-0\ "/>
    <numFmt numFmtId="166" formatCode="#,##0.00\ &quot;TL&quot;"/>
    <numFmt numFmtId="167" formatCode="#,##0.00\ _T_L"/>
    <numFmt numFmtId="168" formatCode="dd/mm/yyyy;@"/>
  </numFmts>
  <fonts count="34" x14ac:knownFonts="1">
    <font>
      <sz val="10"/>
      <name val="Arial"/>
      <charset val="186"/>
    </font>
    <font>
      <sz val="10"/>
      <name val="Arial"/>
      <charset val="186"/>
    </font>
    <font>
      <sz val="9"/>
      <name val="Arial Narrow"/>
      <family val="2"/>
    </font>
    <font>
      <b/>
      <sz val="14"/>
      <name val="Arial"/>
      <family val="2"/>
      <charset val="238"/>
    </font>
    <font>
      <sz val="8"/>
      <name val="Arial"/>
      <family val="2"/>
      <charset val="16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9"/>
      <name val="Arial"/>
      <family val="2"/>
      <charset val="162"/>
    </font>
    <font>
      <b/>
      <u/>
      <sz val="9"/>
      <name val="Arial"/>
      <family val="2"/>
    </font>
    <font>
      <b/>
      <u/>
      <sz val="11"/>
      <color indexed="10"/>
      <name val="Arial Narrow"/>
      <family val="2"/>
    </font>
    <font>
      <sz val="11"/>
      <name val="Arial Narrow"/>
      <family val="2"/>
    </font>
    <font>
      <b/>
      <u/>
      <sz val="11"/>
      <color indexed="18"/>
      <name val="Arial Narrow"/>
      <family val="2"/>
    </font>
    <font>
      <sz val="10"/>
      <name val="Arial Narrow"/>
      <family val="2"/>
      <charset val="162"/>
    </font>
    <font>
      <sz val="10"/>
      <name val="Arial"/>
      <family val="2"/>
    </font>
    <font>
      <sz val="10"/>
      <name val="Arial"/>
      <family val="2"/>
      <charset val="162"/>
    </font>
    <font>
      <sz val="11"/>
      <color indexed="8"/>
      <name val="Wide Latin"/>
      <family val="1"/>
    </font>
    <font>
      <b/>
      <i/>
      <sz val="10"/>
      <name val="Arial"/>
      <family val="2"/>
    </font>
    <font>
      <b/>
      <sz val="9"/>
      <name val="Arial Narrow"/>
      <family val="2"/>
    </font>
    <font>
      <b/>
      <sz val="16"/>
      <color indexed="54"/>
      <name val="Tahoma"/>
      <family val="2"/>
      <charset val="162"/>
    </font>
    <font>
      <b/>
      <sz val="12"/>
      <color indexed="9"/>
      <name val="Tahoma"/>
      <family val="2"/>
      <charset val="162"/>
    </font>
    <font>
      <b/>
      <sz val="11"/>
      <name val="Wide Latin"/>
      <family val="1"/>
    </font>
    <font>
      <b/>
      <sz val="14"/>
      <name val="Tahoma"/>
      <family val="2"/>
      <charset val="162"/>
    </font>
    <font>
      <b/>
      <sz val="7.5"/>
      <name val="Arial"/>
      <family val="2"/>
    </font>
    <font>
      <b/>
      <sz val="8"/>
      <color indexed="9"/>
      <name val="Tahoma"/>
      <family val="2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b/>
      <sz val="8"/>
      <name val="Arial"/>
      <family val="2"/>
      <charset val="16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10"/>
      <color theme="0"/>
      <name val="Arial"/>
      <family val="2"/>
      <charset val="162"/>
    </font>
    <font>
      <sz val="9"/>
      <color theme="0"/>
      <name val="Arial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2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 style="thin">
        <color indexed="62"/>
      </top>
      <bottom/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2" fillId="0" borderId="0" xfId="0" applyFont="1" applyAlignment="1"/>
    <xf numFmtId="164" fontId="3" fillId="0" borderId="0" xfId="1" applyFont="1" applyFill="1" applyBorder="1" applyAlignment="1">
      <alignment horizontal="left"/>
    </xf>
    <xf numFmtId="0" fontId="0" fillId="0" borderId="0" xfId="0" applyBorder="1"/>
    <xf numFmtId="0" fontId="0" fillId="0" borderId="0" xfId="0" applyAlignment="1"/>
    <xf numFmtId="0" fontId="5" fillId="0" borderId="0" xfId="0" applyFont="1" applyBorder="1" applyAlignment="1">
      <alignment vertical="top" wrapText="1"/>
    </xf>
    <xf numFmtId="0" fontId="6" fillId="0" borderId="0" xfId="0" applyFont="1" applyBorder="1" applyAlignment="1">
      <alignment vertical="top" wrapText="1"/>
    </xf>
    <xf numFmtId="0" fontId="0" fillId="0" borderId="0" xfId="0" applyBorder="1" applyAlignment="1">
      <alignment vertical="top"/>
    </xf>
    <xf numFmtId="0" fontId="7" fillId="0" borderId="0" xfId="0" applyFont="1" applyBorder="1" applyAlignment="1">
      <alignment vertical="top"/>
    </xf>
    <xf numFmtId="0" fontId="0" fillId="0" borderId="0" xfId="0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165" fontId="5" fillId="0" borderId="0" xfId="0" applyNumberFormat="1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vertical="top" wrapText="1"/>
    </xf>
    <xf numFmtId="0" fontId="5" fillId="0" borderId="0" xfId="0" applyFont="1" applyBorder="1" applyAlignment="1">
      <alignment horizontal="center" vertical="top" wrapText="1"/>
    </xf>
    <xf numFmtId="0" fontId="12" fillId="0" borderId="5" xfId="0" applyFont="1" applyBorder="1" applyAlignment="1"/>
    <xf numFmtId="0" fontId="13" fillId="0" borderId="6" xfId="0" applyFont="1" applyBorder="1"/>
    <xf numFmtId="0" fontId="14" fillId="0" borderId="6" xfId="0" applyFont="1" applyBorder="1"/>
    <xf numFmtId="0" fontId="13" fillId="0" borderId="7" xfId="0" applyFont="1" applyBorder="1"/>
    <xf numFmtId="0" fontId="13" fillId="0" borderId="0" xfId="0" applyFont="1" applyBorder="1"/>
    <xf numFmtId="0" fontId="13" fillId="0" borderId="8" xfId="0" applyFont="1" applyBorder="1" applyAlignment="1">
      <alignment vertical="top"/>
    </xf>
    <xf numFmtId="0" fontId="13" fillId="0" borderId="9" xfId="0" applyFont="1" applyBorder="1" applyAlignment="1">
      <alignment vertical="top"/>
    </xf>
    <xf numFmtId="0" fontId="13" fillId="0" borderId="10" xfId="0" applyFont="1" applyBorder="1" applyAlignment="1">
      <alignment vertical="top"/>
    </xf>
    <xf numFmtId="0" fontId="13" fillId="0" borderId="0" xfId="0" applyFont="1" applyBorder="1" applyAlignment="1">
      <alignment vertical="top"/>
    </xf>
    <xf numFmtId="0" fontId="15" fillId="0" borderId="9" xfId="0" applyFont="1" applyBorder="1" applyAlignment="1">
      <alignment vertical="top" wrapText="1"/>
    </xf>
    <xf numFmtId="0" fontId="14" fillId="0" borderId="5" xfId="0" applyFont="1" applyBorder="1"/>
    <xf numFmtId="0" fontId="18" fillId="0" borderId="0" xfId="0" applyFont="1" applyAlignment="1">
      <alignment horizontal="center"/>
    </xf>
    <xf numFmtId="0" fontId="16" fillId="0" borderId="0" xfId="0" applyFont="1" applyFill="1" applyBorder="1"/>
    <xf numFmtId="0" fontId="10" fillId="0" borderId="0" xfId="0" applyFont="1" applyFill="1" applyBorder="1" applyAlignment="1">
      <alignment vertical="top" wrapText="1"/>
    </xf>
    <xf numFmtId="0" fontId="10" fillId="0" borderId="0" xfId="0" applyFont="1" applyFill="1" applyBorder="1"/>
    <xf numFmtId="0" fontId="19" fillId="0" borderId="0" xfId="0" applyFont="1" applyBorder="1" applyAlignment="1">
      <alignment vertical="top"/>
    </xf>
    <xf numFmtId="0" fontId="5" fillId="0" borderId="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/>
    </xf>
    <xf numFmtId="0" fontId="15" fillId="0" borderId="10" xfId="0" applyFont="1" applyBorder="1" applyAlignment="1">
      <alignment vertical="top" wrapText="1"/>
    </xf>
    <xf numFmtId="0" fontId="22" fillId="3" borderId="11" xfId="0" applyFont="1" applyFill="1" applyBorder="1" applyAlignment="1"/>
    <xf numFmtId="0" fontId="22" fillId="3" borderId="0" xfId="0" applyFont="1" applyFill="1" applyBorder="1" applyAlignment="1"/>
    <xf numFmtId="0" fontId="23" fillId="0" borderId="0" xfId="0" applyFont="1" applyBorder="1" applyAlignment="1"/>
    <xf numFmtId="0" fontId="26" fillId="3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center" vertical="top" wrapText="1"/>
    </xf>
    <xf numFmtId="0" fontId="27" fillId="0" borderId="0" xfId="0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8" fillId="0" borderId="0" xfId="0" applyFont="1" applyBorder="1" applyAlignment="1">
      <alignment vertical="top" wrapText="1"/>
    </xf>
    <xf numFmtId="0" fontId="0" fillId="0" borderId="15" xfId="0" applyBorder="1"/>
    <xf numFmtId="0" fontId="10" fillId="0" borderId="15" xfId="0" applyFont="1" applyFill="1" applyBorder="1" applyAlignment="1">
      <alignment vertical="top" wrapText="1"/>
    </xf>
    <xf numFmtId="0" fontId="17" fillId="0" borderId="16" xfId="0" applyFont="1" applyBorder="1"/>
    <xf numFmtId="0" fontId="17" fillId="0" borderId="17" xfId="0" applyFont="1" applyBorder="1"/>
    <xf numFmtId="0" fontId="5" fillId="0" borderId="1" xfId="0" applyFont="1" applyBorder="1" applyAlignment="1">
      <alignment horizontal="center" vertical="center" wrapText="1"/>
    </xf>
    <xf numFmtId="0" fontId="16" fillId="4" borderId="5" xfId="0" applyFont="1" applyFill="1" applyBorder="1"/>
    <xf numFmtId="0" fontId="10" fillId="4" borderId="7" xfId="0" applyFont="1" applyFill="1" applyBorder="1" applyAlignment="1">
      <alignment vertical="top" wrapText="1"/>
    </xf>
    <xf numFmtId="0" fontId="0" fillId="4" borderId="7" xfId="0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25" fillId="0" borderId="1" xfId="0" applyFont="1" applyBorder="1" applyAlignment="1">
      <alignment vertical="top" wrapText="1"/>
    </xf>
    <xf numFmtId="0" fontId="5" fillId="0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165" fontId="5" fillId="0" borderId="1" xfId="0" quotePrefix="1" applyNumberFormat="1" applyFont="1" applyBorder="1" applyAlignment="1">
      <alignment horizontal="center" vertical="top" wrapText="1"/>
    </xf>
    <xf numFmtId="165" fontId="5" fillId="2" borderId="1" xfId="0" applyNumberFormat="1" applyFont="1" applyFill="1" applyBorder="1" applyAlignment="1">
      <alignment horizontal="center" vertical="top" wrapText="1"/>
    </xf>
    <xf numFmtId="165" fontId="5" fillId="0" borderId="2" xfId="0" quotePrefix="1" applyNumberFormat="1" applyFont="1" applyBorder="1" applyAlignment="1">
      <alignment horizontal="center" vertical="top" wrapText="1"/>
    </xf>
    <xf numFmtId="165" fontId="5" fillId="0" borderId="20" xfId="0" quotePrefix="1" applyNumberFormat="1" applyFont="1" applyBorder="1" applyAlignment="1">
      <alignment horizontal="center" vertical="top" wrapText="1"/>
    </xf>
    <xf numFmtId="4" fontId="6" fillId="0" borderId="0" xfId="0" applyNumberFormat="1" applyFont="1" applyBorder="1" applyAlignment="1">
      <alignment horizontal="center" vertical="top" wrapText="1"/>
    </xf>
    <xf numFmtId="4" fontId="0" fillId="0" borderId="0" xfId="0" applyNumberFormat="1" applyBorder="1" applyAlignment="1">
      <alignment vertical="top" wrapText="1"/>
    </xf>
    <xf numFmtId="4" fontId="5" fillId="0" borderId="0" xfId="0" applyNumberFormat="1" applyFont="1" applyBorder="1" applyAlignment="1">
      <alignment horizontal="center" vertical="top" wrapText="1"/>
    </xf>
    <xf numFmtId="165" fontId="5" fillId="0" borderId="3" xfId="0" quotePrefix="1" applyNumberFormat="1" applyFont="1" applyBorder="1" applyAlignment="1">
      <alignment horizontal="center" vertical="top" wrapText="1"/>
    </xf>
    <xf numFmtId="165" fontId="5" fillId="0" borderId="19" xfId="0" quotePrefix="1" applyNumberFormat="1" applyFont="1" applyBorder="1" applyAlignment="1">
      <alignment horizontal="center" vertical="top" wrapText="1"/>
    </xf>
    <xf numFmtId="165" fontId="5" fillId="0" borderId="19" xfId="0" applyNumberFormat="1" applyFont="1" applyFill="1" applyBorder="1" applyAlignment="1">
      <alignment horizontal="center" vertical="top" wrapText="1"/>
    </xf>
    <xf numFmtId="165" fontId="5" fillId="2" borderId="19" xfId="0" applyNumberFormat="1" applyFont="1" applyFill="1" applyBorder="1" applyAlignment="1">
      <alignment horizontal="center" vertical="top" wrapText="1"/>
    </xf>
    <xf numFmtId="165" fontId="5" fillId="0" borderId="4" xfId="0" quotePrefix="1" applyNumberFormat="1" applyFont="1" applyBorder="1" applyAlignment="1">
      <alignment horizontal="center" vertical="top" wrapText="1"/>
    </xf>
    <xf numFmtId="166" fontId="6" fillId="0" borderId="1" xfId="0" applyNumberFormat="1" applyFont="1" applyFill="1" applyBorder="1" applyAlignment="1">
      <alignment horizontal="center" vertical="top" wrapText="1"/>
    </xf>
    <xf numFmtId="0" fontId="0" fillId="0" borderId="0" xfId="0" applyFill="1" applyBorder="1" applyAlignment="1">
      <alignment vertical="top" wrapText="1"/>
    </xf>
    <xf numFmtId="0" fontId="17" fillId="0" borderId="0" xfId="0" applyFont="1" applyFill="1" applyBorder="1"/>
    <xf numFmtId="0" fontId="0" fillId="0" borderId="0" xfId="0" applyFill="1" applyBorder="1"/>
    <xf numFmtId="0" fontId="10" fillId="4" borderId="19" xfId="0" applyFont="1" applyFill="1" applyBorder="1" applyAlignment="1">
      <alignment vertical="top" wrapText="1"/>
    </xf>
    <xf numFmtId="0" fontId="0" fillId="0" borderId="26" xfId="0" applyBorder="1" applyAlignment="1">
      <alignment vertical="center"/>
    </xf>
    <xf numFmtId="0" fontId="10" fillId="0" borderId="0" xfId="0" applyFont="1" applyFill="1" applyBorder="1" applyAlignment="1">
      <alignment vertical="center" wrapText="1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10" fillId="0" borderId="1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10" fillId="0" borderId="0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30" fillId="0" borderId="20" xfId="0" applyFont="1" applyFill="1" applyBorder="1" applyAlignment="1">
      <alignment horizontal="left" vertical="center" wrapText="1"/>
    </xf>
    <xf numFmtId="4" fontId="6" fillId="0" borderId="0" xfId="0" applyNumberFormat="1" applyFont="1" applyBorder="1" applyAlignment="1">
      <alignment horizontal="center" vertical="center" wrapText="1"/>
    </xf>
    <xf numFmtId="4" fontId="6" fillId="0" borderId="0" xfId="0" applyNumberFormat="1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Fill="1" applyBorder="1" applyAlignment="1">
      <alignment vertical="top"/>
    </xf>
    <xf numFmtId="2" fontId="20" fillId="0" borderId="8" xfId="0" applyNumberFormat="1" applyFont="1" applyBorder="1" applyAlignment="1">
      <alignment horizontal="left" vertical="top" wrapText="1"/>
    </xf>
    <xf numFmtId="2" fontId="20" fillId="0" borderId="8" xfId="0" applyNumberFormat="1" applyFont="1" applyBorder="1" applyAlignment="1">
      <alignment horizontal="left" vertical="center" wrapText="1"/>
    </xf>
    <xf numFmtId="4" fontId="6" fillId="6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167" fontId="27" fillId="5" borderId="13" xfId="0" applyNumberFormat="1" applyFont="1" applyFill="1" applyBorder="1" applyAlignment="1">
      <alignment horizontal="center" vertical="center" wrapText="1"/>
    </xf>
    <xf numFmtId="4" fontId="6" fillId="5" borderId="1" xfId="0" applyNumberFormat="1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4" fontId="27" fillId="0" borderId="0" xfId="0" applyNumberFormat="1" applyFont="1" applyBorder="1" applyAlignment="1">
      <alignment horizontal="center" vertical="center" wrapText="1"/>
    </xf>
    <xf numFmtId="0" fontId="6" fillId="0" borderId="24" xfId="0" applyFont="1" applyBorder="1" applyAlignment="1">
      <alignment vertical="center" wrapText="1"/>
    </xf>
    <xf numFmtId="49" fontId="6" fillId="0" borderId="16" xfId="0" applyNumberFormat="1" applyFont="1" applyFill="1" applyBorder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27" fillId="0" borderId="12" xfId="0" applyFont="1" applyBorder="1" applyAlignment="1">
      <alignment vertical="center" wrapText="1"/>
    </xf>
    <xf numFmtId="4" fontId="27" fillId="6" borderId="13" xfId="0" applyNumberFormat="1" applyFont="1" applyFill="1" applyBorder="1" applyAlignment="1">
      <alignment horizontal="center" vertical="center" wrapText="1"/>
    </xf>
    <xf numFmtId="0" fontId="27" fillId="0" borderId="13" xfId="0" applyFont="1" applyFill="1" applyBorder="1" applyAlignment="1">
      <alignment horizontal="center" vertical="center" wrapText="1"/>
    </xf>
    <xf numFmtId="4" fontId="27" fillId="5" borderId="13" xfId="0" applyNumberFormat="1" applyFont="1" applyFill="1" applyBorder="1" applyAlignment="1">
      <alignment horizontal="center" vertical="center" wrapText="1"/>
    </xf>
    <xf numFmtId="0" fontId="27" fillId="0" borderId="14" xfId="0" applyFont="1" applyBorder="1" applyAlignment="1">
      <alignment horizontal="center" vertical="center" wrapText="1"/>
    </xf>
    <xf numFmtId="4" fontId="27" fillId="0" borderId="0" xfId="0" applyNumberFormat="1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4" fontId="0" fillId="0" borderId="0" xfId="0" applyNumberForma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4" fontId="28" fillId="0" borderId="0" xfId="0" applyNumberFormat="1" applyFont="1" applyBorder="1" applyAlignment="1">
      <alignment vertical="center" wrapText="1"/>
    </xf>
    <xf numFmtId="0" fontId="5" fillId="0" borderId="21" xfId="0" applyFont="1" applyBorder="1" applyAlignment="1">
      <alignment vertical="center" wrapText="1"/>
    </xf>
    <xf numFmtId="0" fontId="25" fillId="0" borderId="21" xfId="0" applyFont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165" fontId="10" fillId="0" borderId="2" xfId="0" quotePrefix="1" applyNumberFormat="1" applyFont="1" applyBorder="1" applyAlignment="1">
      <alignment horizontal="center" vertical="center" wrapText="1"/>
    </xf>
    <xf numFmtId="165" fontId="10" fillId="0" borderId="1" xfId="0" quotePrefix="1" applyNumberFormat="1" applyFont="1" applyBorder="1" applyAlignment="1">
      <alignment horizontal="center" vertical="center" wrapText="1"/>
    </xf>
    <xf numFmtId="165" fontId="10" fillId="0" borderId="1" xfId="0" applyNumberFormat="1" applyFont="1" applyFill="1" applyBorder="1" applyAlignment="1">
      <alignment horizontal="center" vertical="center" wrapText="1"/>
    </xf>
    <xf numFmtId="165" fontId="10" fillId="2" borderId="1" xfId="0" applyNumberFormat="1" applyFont="1" applyFill="1" applyBorder="1" applyAlignment="1">
      <alignment horizontal="center" vertical="center" wrapText="1"/>
    </xf>
    <xf numFmtId="165" fontId="10" fillId="0" borderId="20" xfId="0" quotePrefix="1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vertical="center" wrapText="1"/>
    </xf>
    <xf numFmtId="4" fontId="6" fillId="6" borderId="19" xfId="0" applyNumberFormat="1" applyFont="1" applyFill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27" fillId="0" borderId="13" xfId="0" applyFont="1" applyBorder="1" applyAlignment="1">
      <alignment horizontal="center" vertical="center" wrapText="1"/>
    </xf>
    <xf numFmtId="4" fontId="27" fillId="0" borderId="13" xfId="0" applyNumberFormat="1" applyFont="1" applyBorder="1" applyAlignment="1">
      <alignment horizontal="center" vertical="center" wrapText="1"/>
    </xf>
    <xf numFmtId="4" fontId="27" fillId="2" borderId="13" xfId="0" applyNumberFormat="1" applyFont="1" applyFill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Border="1" applyAlignment="1">
      <alignment horizontal="center" vertical="center" wrapText="1"/>
    </xf>
    <xf numFmtId="168" fontId="31" fillId="0" borderId="0" xfId="0" applyNumberFormat="1" applyFont="1" applyFill="1" applyBorder="1"/>
    <xf numFmtId="0" fontId="6" fillId="0" borderId="1" xfId="0" applyFont="1" applyBorder="1" applyAlignment="1">
      <alignment horizontal="center" vertical="center" wrapText="1"/>
    </xf>
    <xf numFmtId="167" fontId="6" fillId="6" borderId="1" xfId="0" applyNumberFormat="1" applyFont="1" applyFill="1" applyBorder="1" applyAlignment="1">
      <alignment horizontal="center" vertical="center" wrapText="1"/>
    </xf>
    <xf numFmtId="167" fontId="6" fillId="5" borderId="1" xfId="0" applyNumberFormat="1" applyFont="1" applyFill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6" fillId="0" borderId="22" xfId="0" applyFont="1" applyBorder="1" applyAlignment="1">
      <alignment vertical="center" wrapText="1"/>
    </xf>
    <xf numFmtId="0" fontId="6" fillId="0" borderId="18" xfId="0" applyFont="1" applyBorder="1" applyAlignment="1">
      <alignment horizontal="center" vertical="center" wrapText="1"/>
    </xf>
    <xf numFmtId="167" fontId="6" fillId="6" borderId="18" xfId="0" applyNumberFormat="1" applyFont="1" applyFill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167" fontId="27" fillId="6" borderId="13" xfId="0" applyNumberFormat="1" applyFont="1" applyFill="1" applyBorder="1" applyAlignment="1">
      <alignment horizontal="center" vertical="center" wrapText="1"/>
    </xf>
    <xf numFmtId="166" fontId="6" fillId="6" borderId="1" xfId="0" applyNumberFormat="1" applyFont="1" applyFill="1" applyBorder="1" applyAlignment="1">
      <alignment horizontal="center" vertical="center" wrapText="1"/>
    </xf>
    <xf numFmtId="4" fontId="10" fillId="6" borderId="1" xfId="0" applyNumberFormat="1" applyFont="1" applyFill="1" applyBorder="1" applyAlignment="1">
      <alignment horizontal="center" vertical="center" wrapText="1"/>
    </xf>
    <xf numFmtId="166" fontId="10" fillId="6" borderId="19" xfId="0" applyNumberFormat="1" applyFont="1" applyFill="1" applyBorder="1" applyAlignment="1">
      <alignment horizontal="center" vertical="center" wrapText="1"/>
    </xf>
    <xf numFmtId="166" fontId="6" fillId="6" borderId="19" xfId="0" applyNumberFormat="1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166" fontId="27" fillId="6" borderId="13" xfId="0" applyNumberFormat="1" applyFont="1" applyFill="1" applyBorder="1" applyAlignment="1">
      <alignment horizontal="center" vertical="center" wrapText="1"/>
    </xf>
    <xf numFmtId="166" fontId="27" fillId="5" borderId="13" xfId="0" applyNumberFormat="1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164" fontId="3" fillId="0" borderId="0" xfId="1" applyFont="1" applyFill="1" applyBorder="1" applyAlignment="1">
      <alignment horizontal="left"/>
    </xf>
    <xf numFmtId="0" fontId="5" fillId="0" borderId="28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5" fillId="0" borderId="21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wrapText="1"/>
    </xf>
    <xf numFmtId="0" fontId="21" fillId="0" borderId="30" xfId="0" applyFont="1" applyBorder="1" applyAlignment="1">
      <alignment horizontal="center" wrapText="1"/>
    </xf>
    <xf numFmtId="0" fontId="5" fillId="0" borderId="2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24" fillId="0" borderId="31" xfId="0" applyFont="1" applyBorder="1" applyAlignment="1">
      <alignment horizontal="center" wrapText="1"/>
    </xf>
    <xf numFmtId="0" fontId="24" fillId="0" borderId="32" xfId="0" applyFont="1" applyBorder="1" applyAlignment="1">
      <alignment horizont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4" fillId="0" borderId="36" xfId="0" applyFont="1" applyBorder="1" applyAlignment="1">
      <alignment horizont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32" fillId="0" borderId="0" xfId="0" applyFont="1" applyBorder="1" applyAlignment="1">
      <alignment vertical="top" wrapText="1"/>
    </xf>
    <xf numFmtId="0" fontId="33" fillId="0" borderId="0" xfId="0" applyFont="1" applyFill="1" applyBorder="1" applyAlignment="1">
      <alignment vertical="top" wrapText="1"/>
    </xf>
  </cellXfs>
  <cellStyles count="2">
    <cellStyle name="Normal" xfId="0" builtinId="0"/>
    <cellStyle name="Virgül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71"/>
  <sheetViews>
    <sheetView tabSelected="1" zoomScale="80" zoomScaleNormal="80" zoomScaleSheetLayoutView="80" workbookViewId="0">
      <selection activeCell="B9" sqref="B9"/>
    </sheetView>
  </sheetViews>
  <sheetFormatPr defaultRowHeight="12.75" x14ac:dyDescent="0.2"/>
  <cols>
    <col min="1" max="1" width="38.7109375" style="10" customWidth="1"/>
    <col min="2" max="2" width="20.5703125" style="10" bestFit="1" customWidth="1"/>
    <col min="3" max="4" width="19.5703125" style="10" customWidth="1"/>
    <col min="5" max="5" width="19.42578125" style="10" customWidth="1"/>
    <col min="6" max="6" width="19.85546875" style="10" customWidth="1"/>
    <col min="7" max="7" width="15.7109375" style="10" customWidth="1"/>
    <col min="8" max="8" width="19" style="10" customWidth="1"/>
    <col min="9" max="9" width="17.140625" style="10" customWidth="1"/>
    <col min="10" max="10" width="15.5703125" style="10" customWidth="1"/>
    <col min="11" max="11" width="12.85546875" style="10" customWidth="1"/>
    <col min="12" max="12" width="13.7109375" style="10" customWidth="1"/>
    <col min="13" max="13" width="13.5703125" style="10" customWidth="1"/>
    <col min="14" max="14" width="13" style="10" customWidth="1"/>
    <col min="15" max="15" width="14" style="10" customWidth="1"/>
    <col min="16" max="17" width="15" style="10" customWidth="1"/>
    <col min="18" max="18" width="11.42578125" style="10" customWidth="1"/>
    <col min="19" max="16384" width="9.140625" style="10"/>
  </cols>
  <sheetData>
    <row r="1" spans="1:17" x14ac:dyDescent="0.2">
      <c r="A1" s="29"/>
    </row>
    <row r="2" spans="1:17" customFormat="1" ht="19.5" x14ac:dyDescent="0.25">
      <c r="A2" s="131"/>
      <c r="B2" s="159" t="s">
        <v>14</v>
      </c>
      <c r="C2" s="160"/>
      <c r="D2" s="38" t="s">
        <v>45</v>
      </c>
      <c r="E2" s="39"/>
      <c r="F2" s="39"/>
      <c r="G2" s="39"/>
      <c r="H2" s="39"/>
      <c r="I2" s="41" t="s">
        <v>88</v>
      </c>
      <c r="J2" s="10"/>
      <c r="K2" s="10"/>
      <c r="L2" s="10"/>
      <c r="M2" s="10"/>
      <c r="N2" s="10"/>
      <c r="O2" s="10"/>
      <c r="P2" s="10"/>
    </row>
    <row r="3" spans="1:17" customFormat="1" ht="15" x14ac:dyDescent="0.25">
      <c r="A3" s="29"/>
      <c r="B3" s="10"/>
      <c r="C3" s="28"/>
      <c r="L3" s="40"/>
      <c r="M3" s="40"/>
    </row>
    <row r="4" spans="1:17" ht="12.75" customHeight="1" x14ac:dyDescent="0.2">
      <c r="A4" s="164" t="s">
        <v>72</v>
      </c>
      <c r="B4" s="165"/>
      <c r="C4" s="165"/>
      <c r="D4" s="165"/>
      <c r="E4" s="165"/>
      <c r="F4" s="165"/>
      <c r="G4" s="165"/>
      <c r="H4" s="165"/>
      <c r="I4" s="166"/>
      <c r="N4"/>
      <c r="O4"/>
      <c r="P4"/>
    </row>
    <row r="5" spans="1:17" ht="12.75" customHeight="1" x14ac:dyDescent="0.2">
      <c r="A5" s="167"/>
      <c r="B5" s="168"/>
      <c r="C5" s="168"/>
      <c r="D5" s="168"/>
      <c r="E5" s="168"/>
      <c r="F5" s="168"/>
      <c r="G5" s="168"/>
      <c r="H5" s="168"/>
      <c r="I5" s="169"/>
      <c r="N5"/>
      <c r="O5"/>
      <c r="P5"/>
    </row>
    <row r="6" spans="1:17" customFormat="1" ht="18" x14ac:dyDescent="0.25">
      <c r="A6" s="29"/>
      <c r="B6" s="2"/>
      <c r="C6" s="2"/>
      <c r="D6" s="2"/>
      <c r="E6" s="2"/>
      <c r="F6" s="1"/>
      <c r="I6" s="1"/>
      <c r="J6" s="10"/>
      <c r="K6" s="10"/>
      <c r="L6" s="10"/>
      <c r="M6" s="10"/>
      <c r="N6" s="10"/>
      <c r="O6" s="10"/>
      <c r="P6" s="10"/>
      <c r="Q6" s="3"/>
    </row>
    <row r="7" spans="1:17" customFormat="1" x14ac:dyDescent="0.2">
      <c r="A7" s="74" t="s">
        <v>13</v>
      </c>
      <c r="B7" s="172"/>
      <c r="C7" s="51" t="s">
        <v>15</v>
      </c>
      <c r="D7" s="52"/>
      <c r="E7" s="10"/>
      <c r="F7" s="51" t="s">
        <v>11</v>
      </c>
      <c r="G7" s="53"/>
      <c r="H7" s="10"/>
      <c r="I7" s="29"/>
      <c r="J7" s="71"/>
      <c r="K7" s="10"/>
      <c r="L7" s="15"/>
      <c r="M7" s="15"/>
      <c r="N7" s="10"/>
      <c r="O7" s="10"/>
    </row>
    <row r="8" spans="1:17" s="30" customFormat="1" x14ac:dyDescent="0.2">
      <c r="A8" s="48"/>
      <c r="B8" s="173"/>
      <c r="C8" s="49"/>
      <c r="D8" s="46"/>
      <c r="F8" s="49"/>
      <c r="G8" s="47"/>
      <c r="I8" s="72"/>
      <c r="J8" s="73"/>
      <c r="L8" s="15"/>
      <c r="M8" s="15"/>
      <c r="P8" s="31"/>
    </row>
    <row r="9" spans="1:17" s="30" customFormat="1" x14ac:dyDescent="0.2">
      <c r="A9" s="48" t="str">
        <f>"Date:     "&amp; TEXT( HazirlamaTarihi, "gg.aa.yyyy")</f>
        <v>Date:     00.01.1900</v>
      </c>
      <c r="C9" s="49" t="str">
        <f>A9</f>
        <v>Date:     00.01.1900</v>
      </c>
      <c r="D9" s="46"/>
      <c r="F9" s="49" t="str">
        <f>A9</f>
        <v>Date:     00.01.1900</v>
      </c>
      <c r="G9" s="47"/>
      <c r="I9" s="72"/>
      <c r="J9" s="73"/>
      <c r="L9" s="15"/>
      <c r="M9" s="15"/>
    </row>
    <row r="10" spans="1:17" s="76" customFormat="1" ht="27.75" customHeight="1" x14ac:dyDescent="0.2">
      <c r="A10" s="75" t="s">
        <v>0</v>
      </c>
      <c r="C10" s="77" t="s">
        <v>0</v>
      </c>
      <c r="D10" s="78"/>
      <c r="F10" s="77" t="s">
        <v>0</v>
      </c>
      <c r="G10" s="79"/>
      <c r="I10" s="80"/>
      <c r="J10" s="80"/>
      <c r="L10" s="81"/>
      <c r="M10" s="81"/>
    </row>
    <row r="11" spans="1:17" customFormat="1" x14ac:dyDescent="0.2">
      <c r="B11" s="5"/>
      <c r="C11" s="5"/>
      <c r="D11" s="5"/>
      <c r="E11" s="5"/>
      <c r="I11" s="4"/>
    </row>
    <row r="12" spans="1:17" s="8" customFormat="1" ht="18" x14ac:dyDescent="0.25">
      <c r="A12" s="87" t="s">
        <v>89</v>
      </c>
      <c r="G12" s="3" t="s">
        <v>90</v>
      </c>
      <c r="H12" s="152"/>
      <c r="I12" s="152"/>
    </row>
    <row r="13" spans="1:17" s="8" customFormat="1" x14ac:dyDescent="0.2">
      <c r="A13" s="9"/>
    </row>
    <row r="14" spans="1:17" s="8" customFormat="1" ht="13.5" thickBot="1" x14ac:dyDescent="0.25">
      <c r="A14" s="32" t="s">
        <v>43</v>
      </c>
    </row>
    <row r="15" spans="1:17" s="34" customFormat="1" ht="24" customHeight="1" x14ac:dyDescent="0.2">
      <c r="A15" s="161" t="s">
        <v>28</v>
      </c>
      <c r="B15" s="158"/>
      <c r="C15" s="158" t="s">
        <v>25</v>
      </c>
      <c r="D15" s="158"/>
      <c r="E15" s="158"/>
      <c r="F15" s="158"/>
      <c r="G15" s="158"/>
      <c r="H15" s="158"/>
      <c r="I15" s="153" t="s">
        <v>8</v>
      </c>
    </row>
    <row r="16" spans="1:17" s="16" customFormat="1" ht="12" customHeight="1" x14ac:dyDescent="0.2">
      <c r="A16" s="163" t="s">
        <v>2</v>
      </c>
      <c r="B16" s="162" t="s">
        <v>31</v>
      </c>
      <c r="C16" s="155" t="s">
        <v>18</v>
      </c>
      <c r="D16" s="155"/>
      <c r="E16" s="155" t="s">
        <v>21</v>
      </c>
      <c r="F16" s="155"/>
      <c r="G16" s="54"/>
      <c r="H16" s="55" t="s">
        <v>49</v>
      </c>
      <c r="I16" s="154"/>
      <c r="J16" s="64"/>
    </row>
    <row r="17" spans="1:19" s="16" customFormat="1" ht="24" x14ac:dyDescent="0.2">
      <c r="A17" s="163"/>
      <c r="B17" s="162"/>
      <c r="C17" s="33" t="s">
        <v>52</v>
      </c>
      <c r="D17" s="50" t="s">
        <v>23</v>
      </c>
      <c r="E17" s="33" t="s">
        <v>52</v>
      </c>
      <c r="F17" s="50" t="s">
        <v>23</v>
      </c>
      <c r="G17" s="56" t="s">
        <v>46</v>
      </c>
      <c r="H17" s="57" t="s">
        <v>16</v>
      </c>
      <c r="I17" s="154"/>
      <c r="J17" s="62"/>
    </row>
    <row r="18" spans="1:19" s="13" customFormat="1" ht="12" x14ac:dyDescent="0.2">
      <c r="A18" s="65" t="s">
        <v>3</v>
      </c>
      <c r="B18" s="66" t="s">
        <v>19</v>
      </c>
      <c r="C18" s="66" t="s">
        <v>4</v>
      </c>
      <c r="D18" s="66" t="s">
        <v>5</v>
      </c>
      <c r="E18" s="66" t="s">
        <v>33</v>
      </c>
      <c r="F18" s="66" t="s">
        <v>6</v>
      </c>
      <c r="G18" s="67" t="s">
        <v>47</v>
      </c>
      <c r="H18" s="68" t="s">
        <v>48</v>
      </c>
      <c r="I18" s="69" t="s">
        <v>22</v>
      </c>
      <c r="J18" s="62"/>
    </row>
    <row r="19" spans="1:19" s="86" customFormat="1" ht="30" customHeight="1" x14ac:dyDescent="0.2">
      <c r="A19" s="82" t="s">
        <v>73</v>
      </c>
      <c r="B19" s="90">
        <v>0</v>
      </c>
      <c r="C19" s="91" t="s">
        <v>54</v>
      </c>
      <c r="D19" s="93">
        <v>0</v>
      </c>
      <c r="E19" s="91" t="s">
        <v>60</v>
      </c>
      <c r="F19" s="93">
        <v>0</v>
      </c>
      <c r="G19" s="90">
        <f>D19+F19</f>
        <v>0</v>
      </c>
      <c r="H19" s="90">
        <f t="shared" ref="H19:H25" si="0">+B19-G19</f>
        <v>0</v>
      </c>
      <c r="I19" s="94"/>
      <c r="J19" s="95"/>
    </row>
    <row r="20" spans="1:19" s="86" customFormat="1" ht="30" customHeight="1" x14ac:dyDescent="0.2">
      <c r="A20" s="82" t="s">
        <v>74</v>
      </c>
      <c r="B20" s="90">
        <v>0</v>
      </c>
      <c r="C20" s="91" t="s">
        <v>55</v>
      </c>
      <c r="D20" s="93">
        <v>0</v>
      </c>
      <c r="E20" s="91" t="s">
        <v>61</v>
      </c>
      <c r="F20" s="93">
        <v>0</v>
      </c>
      <c r="G20" s="90">
        <f t="shared" ref="G20:G25" si="1">D20+F20</f>
        <v>0</v>
      </c>
      <c r="H20" s="90">
        <f t="shared" si="0"/>
        <v>0</v>
      </c>
      <c r="I20" s="94"/>
      <c r="J20" s="84"/>
      <c r="K20" s="85"/>
    </row>
    <row r="21" spans="1:19" s="86" customFormat="1" ht="30" customHeight="1" x14ac:dyDescent="0.2">
      <c r="A21" s="82" t="s">
        <v>75</v>
      </c>
      <c r="B21" s="90">
        <v>0</v>
      </c>
      <c r="C21" s="91" t="s">
        <v>56</v>
      </c>
      <c r="D21" s="93">
        <v>0</v>
      </c>
      <c r="E21" s="91" t="s">
        <v>62</v>
      </c>
      <c r="F21" s="93">
        <v>0</v>
      </c>
      <c r="G21" s="90">
        <f t="shared" si="1"/>
        <v>0</v>
      </c>
      <c r="H21" s="90">
        <f t="shared" si="0"/>
        <v>0</v>
      </c>
      <c r="I21" s="94"/>
      <c r="J21" s="84"/>
      <c r="K21" s="85"/>
    </row>
    <row r="22" spans="1:19" s="86" customFormat="1" ht="30" customHeight="1" x14ac:dyDescent="0.2">
      <c r="A22" s="82" t="s">
        <v>76</v>
      </c>
      <c r="B22" s="90">
        <v>0</v>
      </c>
      <c r="C22" s="91" t="s">
        <v>57</v>
      </c>
      <c r="D22" s="93">
        <v>0</v>
      </c>
      <c r="E22" s="91" t="s">
        <v>63</v>
      </c>
      <c r="F22" s="93">
        <v>0</v>
      </c>
      <c r="G22" s="90">
        <f t="shared" si="1"/>
        <v>0</v>
      </c>
      <c r="H22" s="90">
        <f t="shared" si="0"/>
        <v>0</v>
      </c>
      <c r="I22" s="94"/>
      <c r="J22" s="84"/>
      <c r="K22" s="85"/>
    </row>
    <row r="23" spans="1:19" s="86" customFormat="1" ht="30" customHeight="1" x14ac:dyDescent="0.2">
      <c r="A23" s="82" t="s">
        <v>77</v>
      </c>
      <c r="B23" s="90">
        <v>0</v>
      </c>
      <c r="C23" s="91" t="s">
        <v>58</v>
      </c>
      <c r="D23" s="93">
        <v>0</v>
      </c>
      <c r="E23" s="91" t="s">
        <v>64</v>
      </c>
      <c r="F23" s="93">
        <v>0</v>
      </c>
      <c r="G23" s="90">
        <f t="shared" si="1"/>
        <v>0</v>
      </c>
      <c r="H23" s="90">
        <f t="shared" si="0"/>
        <v>0</v>
      </c>
      <c r="I23" s="94"/>
      <c r="J23" s="96"/>
      <c r="K23" s="96"/>
    </row>
    <row r="24" spans="1:19" s="86" customFormat="1" ht="30" customHeight="1" x14ac:dyDescent="0.2">
      <c r="A24" s="82" t="s">
        <v>78</v>
      </c>
      <c r="B24" s="90">
        <v>0</v>
      </c>
      <c r="C24" s="91" t="s">
        <v>59</v>
      </c>
      <c r="D24" s="93">
        <v>0</v>
      </c>
      <c r="E24" s="91" t="s">
        <v>65</v>
      </c>
      <c r="F24" s="93">
        <v>0</v>
      </c>
      <c r="G24" s="90">
        <f t="shared" si="1"/>
        <v>0</v>
      </c>
      <c r="H24" s="90">
        <f>+B24-G24</f>
        <v>0</v>
      </c>
      <c r="I24" s="83"/>
      <c r="J24" s="84"/>
      <c r="K24" s="85"/>
    </row>
    <row r="25" spans="1:19" s="86" customFormat="1" ht="30" customHeight="1" thickBot="1" x14ac:dyDescent="0.25">
      <c r="A25" s="97" t="s">
        <v>79</v>
      </c>
      <c r="B25" s="90">
        <v>0</v>
      </c>
      <c r="C25" s="98" t="s">
        <v>80</v>
      </c>
      <c r="D25" s="93">
        <v>0</v>
      </c>
      <c r="E25" s="98" t="s">
        <v>81</v>
      </c>
      <c r="F25" s="93">
        <v>0</v>
      </c>
      <c r="G25" s="90">
        <f t="shared" si="1"/>
        <v>0</v>
      </c>
      <c r="H25" s="99">
        <f t="shared" si="0"/>
        <v>0</v>
      </c>
      <c r="I25" s="100"/>
      <c r="J25" s="85"/>
      <c r="K25" s="84"/>
    </row>
    <row r="26" spans="1:19" s="107" customFormat="1" ht="30" customHeight="1" thickBot="1" x14ac:dyDescent="0.25">
      <c r="A26" s="101" t="s">
        <v>1</v>
      </c>
      <c r="B26" s="102">
        <f>SUM(B19:B25)</f>
        <v>0</v>
      </c>
      <c r="C26" s="103" t="s">
        <v>7</v>
      </c>
      <c r="D26" s="104">
        <f>D19+D20+D21+D22+D23+D24+D25</f>
        <v>0</v>
      </c>
      <c r="E26" s="103" t="s">
        <v>7</v>
      </c>
      <c r="F26" s="104">
        <f>F19+F20+F21+F22+F23+F24+F25</f>
        <v>0</v>
      </c>
      <c r="G26" s="102">
        <f>SUM(G19:G25)</f>
        <v>0</v>
      </c>
      <c r="H26" s="102">
        <f>SUM(H19:H25)</f>
        <v>0</v>
      </c>
      <c r="I26" s="105"/>
      <c r="J26" s="106"/>
      <c r="K26" s="96"/>
    </row>
    <row r="27" spans="1:19" s="86" customFormat="1" ht="12" x14ac:dyDescent="0.2">
      <c r="B27" s="95"/>
      <c r="C27" s="108"/>
      <c r="D27" s="108"/>
      <c r="E27" s="108"/>
      <c r="F27" s="95"/>
      <c r="G27" s="108"/>
      <c r="H27" s="108"/>
      <c r="I27" s="95"/>
      <c r="J27" s="84"/>
      <c r="K27" s="106"/>
    </row>
    <row r="28" spans="1:19" s="109" customFormat="1" x14ac:dyDescent="0.2">
      <c r="K28" s="110"/>
    </row>
    <row r="29" spans="1:19" s="109" customFormat="1" ht="13.5" thickBot="1" x14ac:dyDescent="0.25">
      <c r="A29" s="111" t="s">
        <v>44</v>
      </c>
      <c r="K29" s="112"/>
    </row>
    <row r="30" spans="1:19" s="109" customFormat="1" ht="12.75" customHeight="1" x14ac:dyDescent="0.2">
      <c r="A30" s="170" t="s">
        <v>50</v>
      </c>
      <c r="B30" s="149" t="s">
        <v>66</v>
      </c>
      <c r="C30" s="149" t="s">
        <v>18</v>
      </c>
      <c r="D30" s="149"/>
      <c r="E30" s="149" t="s">
        <v>21</v>
      </c>
      <c r="F30" s="149"/>
      <c r="G30" s="113"/>
      <c r="H30" s="114" t="s">
        <v>49</v>
      </c>
      <c r="I30" s="150" t="s">
        <v>8</v>
      </c>
      <c r="J30" s="115"/>
      <c r="K30" s="115"/>
    </row>
    <row r="31" spans="1:19" s="115" customFormat="1" ht="36" x14ac:dyDescent="0.2">
      <c r="A31" s="171"/>
      <c r="B31" s="162"/>
      <c r="C31" s="50" t="s">
        <v>17</v>
      </c>
      <c r="D31" s="50" t="s">
        <v>67</v>
      </c>
      <c r="E31" s="50" t="s">
        <v>17</v>
      </c>
      <c r="F31" s="50" t="s">
        <v>67</v>
      </c>
      <c r="G31" s="56" t="s">
        <v>68</v>
      </c>
      <c r="H31" s="57" t="s">
        <v>16</v>
      </c>
      <c r="I31" s="151"/>
      <c r="M31" s="86"/>
      <c r="N31" s="86"/>
      <c r="O31" s="86"/>
      <c r="P31" s="86"/>
      <c r="Q31" s="86"/>
      <c r="R31" s="86"/>
      <c r="S31" s="86"/>
    </row>
    <row r="32" spans="1:19" s="115" customFormat="1" ht="15" customHeight="1" x14ac:dyDescent="0.2">
      <c r="A32" s="116" t="s">
        <v>3</v>
      </c>
      <c r="B32" s="117" t="s">
        <v>19</v>
      </c>
      <c r="C32" s="117" t="s">
        <v>4</v>
      </c>
      <c r="D32" s="117" t="s">
        <v>5</v>
      </c>
      <c r="E32" s="117" t="s">
        <v>33</v>
      </c>
      <c r="F32" s="117" t="s">
        <v>6</v>
      </c>
      <c r="G32" s="118" t="s">
        <v>47</v>
      </c>
      <c r="H32" s="119" t="s">
        <v>48</v>
      </c>
      <c r="I32" s="120" t="s">
        <v>22</v>
      </c>
      <c r="M32" s="86"/>
      <c r="N32" s="86"/>
      <c r="O32" s="86"/>
      <c r="P32" s="86"/>
      <c r="Q32" s="86"/>
      <c r="R32" s="86"/>
      <c r="S32" s="86"/>
    </row>
    <row r="33" spans="1:20" s="86" customFormat="1" ht="30" customHeight="1" thickBot="1" x14ac:dyDescent="0.25">
      <c r="A33" s="121" t="s">
        <v>51</v>
      </c>
      <c r="B33" s="122">
        <f>D33+F33</f>
        <v>0</v>
      </c>
      <c r="C33" s="123">
        <v>201010</v>
      </c>
      <c r="D33" s="93"/>
      <c r="E33" s="124">
        <v>201020</v>
      </c>
      <c r="F33" s="93"/>
      <c r="G33" s="122">
        <f>+D33+F33</f>
        <v>0</v>
      </c>
      <c r="H33" s="122">
        <f>+B33-G33</f>
        <v>0</v>
      </c>
      <c r="I33" s="125"/>
      <c r="J33" s="115"/>
      <c r="K33" s="115"/>
    </row>
    <row r="34" spans="1:20" s="107" customFormat="1" ht="30" customHeight="1" thickBot="1" x14ac:dyDescent="0.25">
      <c r="A34" s="101"/>
      <c r="B34" s="102">
        <f>B33</f>
        <v>0</v>
      </c>
      <c r="C34" s="126" t="s">
        <v>7</v>
      </c>
      <c r="D34" s="127">
        <f>D33</f>
        <v>0</v>
      </c>
      <c r="E34" s="126" t="s">
        <v>7</v>
      </c>
      <c r="F34" s="127">
        <f>F33</f>
        <v>0</v>
      </c>
      <c r="G34" s="127">
        <f>G33</f>
        <v>0</v>
      </c>
      <c r="H34" s="128">
        <f>+B34-G34</f>
        <v>0</v>
      </c>
      <c r="I34" s="129"/>
      <c r="J34" s="130"/>
      <c r="K34" s="130"/>
    </row>
    <row r="35" spans="1:20" s="7" customFormat="1" ht="12" x14ac:dyDescent="0.2">
      <c r="C35" s="42"/>
      <c r="D35" s="11"/>
      <c r="E35" s="42"/>
      <c r="G35" s="42"/>
      <c r="H35" s="42"/>
      <c r="J35" s="16"/>
      <c r="K35" s="16"/>
    </row>
    <row r="36" spans="1:20" x14ac:dyDescent="0.2">
      <c r="I36" s="16"/>
      <c r="J36" s="16"/>
      <c r="K36" s="16"/>
      <c r="N36" s="7"/>
      <c r="O36" s="7"/>
      <c r="P36" s="7"/>
      <c r="Q36" s="7"/>
      <c r="R36" s="7"/>
      <c r="S36" s="7"/>
      <c r="T36" s="7"/>
    </row>
    <row r="37" spans="1:20" s="21" customFormat="1" ht="16.5" x14ac:dyDescent="0.3">
      <c r="A37" s="17" t="s">
        <v>42</v>
      </c>
      <c r="B37" s="18"/>
      <c r="C37" s="18"/>
      <c r="D37" s="27" t="s">
        <v>10</v>
      </c>
      <c r="E37" s="19"/>
      <c r="F37" s="19"/>
      <c r="G37" s="19"/>
      <c r="H37" s="19"/>
      <c r="I37" s="20"/>
      <c r="N37" s="7"/>
      <c r="O37" s="7"/>
      <c r="P37" s="7"/>
      <c r="Q37" s="7"/>
      <c r="R37" s="7"/>
      <c r="S37" s="7"/>
      <c r="T37" s="7"/>
    </row>
    <row r="38" spans="1:20" s="25" customFormat="1" ht="16.5" x14ac:dyDescent="0.2">
      <c r="A38" s="36" t="s">
        <v>41</v>
      </c>
      <c r="B38" s="26"/>
      <c r="C38" s="26"/>
      <c r="D38" s="22"/>
      <c r="E38" s="23"/>
      <c r="F38" s="23"/>
      <c r="G38" s="23"/>
      <c r="H38" s="23"/>
      <c r="I38" s="37"/>
      <c r="N38" s="7"/>
      <c r="O38" s="7"/>
      <c r="P38" s="7"/>
      <c r="Q38" s="7"/>
      <c r="R38" s="7"/>
      <c r="S38" s="7"/>
      <c r="T38" s="7"/>
    </row>
    <row r="39" spans="1:20" x14ac:dyDescent="0.2">
      <c r="N39" s="7"/>
      <c r="O39" s="7"/>
      <c r="P39" s="7"/>
      <c r="Q39" s="7"/>
      <c r="R39" s="7"/>
      <c r="S39" s="7"/>
      <c r="T39" s="7"/>
    </row>
    <row r="40" spans="1:20" x14ac:dyDescent="0.2">
      <c r="N40" s="7"/>
      <c r="O40" s="7"/>
      <c r="P40" s="7"/>
      <c r="Q40" s="7"/>
      <c r="R40" s="7"/>
      <c r="S40" s="7"/>
      <c r="T40" s="7"/>
    </row>
    <row r="41" spans="1:20" x14ac:dyDescent="0.2">
      <c r="A41" s="9" t="s">
        <v>26</v>
      </c>
      <c r="F41" s="63"/>
      <c r="N41" s="7"/>
      <c r="O41" s="7"/>
      <c r="P41" s="7"/>
      <c r="Q41" s="7"/>
      <c r="R41" s="7"/>
      <c r="S41" s="7"/>
      <c r="T41" s="7"/>
    </row>
    <row r="42" spans="1:20" x14ac:dyDescent="0.2">
      <c r="A42" s="9"/>
      <c r="H42" s="63"/>
      <c r="N42" s="7"/>
      <c r="O42" s="7"/>
      <c r="P42" s="7"/>
      <c r="Q42" s="7"/>
      <c r="R42" s="7"/>
      <c r="S42" s="7"/>
      <c r="T42" s="7"/>
    </row>
    <row r="43" spans="1:20" ht="13.5" thickBot="1" x14ac:dyDescent="0.25">
      <c r="A43" s="32" t="s">
        <v>43</v>
      </c>
      <c r="D43" s="63"/>
      <c r="I43" s="63"/>
      <c r="N43" s="7"/>
      <c r="O43" s="7"/>
      <c r="P43" s="7"/>
      <c r="Q43" s="7"/>
      <c r="R43" s="7"/>
      <c r="S43" s="7"/>
      <c r="T43" s="7"/>
    </row>
    <row r="44" spans="1:20" s="12" customFormat="1" ht="12" x14ac:dyDescent="0.2">
      <c r="A44" s="161" t="s">
        <v>27</v>
      </c>
      <c r="B44" s="158"/>
      <c r="C44" s="158"/>
      <c r="D44" s="158" t="s">
        <v>30</v>
      </c>
      <c r="E44" s="158"/>
      <c r="F44" s="158"/>
      <c r="G44" s="158"/>
      <c r="H44" s="158"/>
      <c r="I44" s="158"/>
      <c r="J44" s="158"/>
      <c r="K44" s="153" t="s">
        <v>8</v>
      </c>
      <c r="M44" s="15"/>
      <c r="N44" s="7"/>
      <c r="O44" s="7"/>
      <c r="P44" s="7"/>
      <c r="Q44" s="7"/>
      <c r="R44" s="7"/>
      <c r="S44" s="7"/>
      <c r="T44" s="7"/>
    </row>
    <row r="45" spans="1:20" s="12" customFormat="1" ht="24" x14ac:dyDescent="0.2">
      <c r="A45" s="163" t="s">
        <v>2</v>
      </c>
      <c r="B45" s="155" t="s">
        <v>24</v>
      </c>
      <c r="C45" s="155" t="s">
        <v>29</v>
      </c>
      <c r="D45" s="155" t="s">
        <v>18</v>
      </c>
      <c r="E45" s="156"/>
      <c r="F45" s="156"/>
      <c r="G45" s="155" t="s">
        <v>21</v>
      </c>
      <c r="H45" s="155"/>
      <c r="I45" s="33" t="s">
        <v>34</v>
      </c>
      <c r="J45" s="157" t="s">
        <v>32</v>
      </c>
      <c r="K45" s="154"/>
      <c r="L45" s="15"/>
      <c r="M45" s="15"/>
      <c r="P45" s="16"/>
      <c r="Q45" s="16"/>
      <c r="R45" s="16"/>
    </row>
    <row r="46" spans="1:20" s="6" customFormat="1" ht="36" x14ac:dyDescent="0.2">
      <c r="A46" s="163"/>
      <c r="B46" s="155"/>
      <c r="C46" s="155"/>
      <c r="D46" s="33" t="s">
        <v>53</v>
      </c>
      <c r="E46" s="33" t="s">
        <v>36</v>
      </c>
      <c r="F46" s="35" t="s">
        <v>32</v>
      </c>
      <c r="G46" s="33" t="s">
        <v>53</v>
      </c>
      <c r="H46" s="33" t="s">
        <v>36</v>
      </c>
      <c r="I46" s="33" t="s">
        <v>35</v>
      </c>
      <c r="J46" s="157"/>
      <c r="K46" s="154"/>
      <c r="L46" s="15"/>
      <c r="M46" s="15"/>
      <c r="P46" s="16"/>
      <c r="Q46" s="16"/>
      <c r="R46" s="16"/>
    </row>
    <row r="47" spans="1:20" s="13" customFormat="1" ht="12" x14ac:dyDescent="0.2">
      <c r="A47" s="60" t="s">
        <v>3</v>
      </c>
      <c r="B47" s="70" t="s">
        <v>19</v>
      </c>
      <c r="C47" s="70" t="s">
        <v>4</v>
      </c>
      <c r="D47" s="58" t="s">
        <v>5</v>
      </c>
      <c r="E47" s="58" t="s">
        <v>33</v>
      </c>
      <c r="F47" s="59" t="s">
        <v>39</v>
      </c>
      <c r="G47" s="58" t="s">
        <v>20</v>
      </c>
      <c r="H47" s="58" t="s">
        <v>9</v>
      </c>
      <c r="I47" s="58" t="s">
        <v>37</v>
      </c>
      <c r="J47" s="59" t="s">
        <v>38</v>
      </c>
      <c r="K47" s="61" t="s">
        <v>12</v>
      </c>
      <c r="L47" s="15"/>
      <c r="M47" s="15"/>
    </row>
    <row r="48" spans="1:20" s="7" customFormat="1" ht="30" customHeight="1" x14ac:dyDescent="0.2">
      <c r="A48" s="82" t="s">
        <v>73</v>
      </c>
      <c r="B48" s="90">
        <v>0</v>
      </c>
      <c r="C48" s="90">
        <v>0</v>
      </c>
      <c r="D48" s="132" t="s">
        <v>82</v>
      </c>
      <c r="E48" s="93">
        <v>0</v>
      </c>
      <c r="F48" s="133">
        <f>+C48-E48</f>
        <v>0</v>
      </c>
      <c r="G48" s="132" t="s">
        <v>83</v>
      </c>
      <c r="H48" s="93">
        <v>0</v>
      </c>
      <c r="I48" s="134">
        <f>E48+H48</f>
        <v>0</v>
      </c>
      <c r="J48" s="133">
        <f>+B48-I48</f>
        <v>0</v>
      </c>
      <c r="K48" s="135">
        <v>1</v>
      </c>
      <c r="L48" s="15"/>
      <c r="M48" s="15"/>
      <c r="P48" s="14"/>
      <c r="Q48" s="14"/>
      <c r="R48" s="14"/>
      <c r="S48" s="14"/>
      <c r="T48" s="11"/>
    </row>
    <row r="49" spans="1:20" s="7" customFormat="1" ht="30" customHeight="1" x14ac:dyDescent="0.2">
      <c r="A49" s="82" t="s">
        <v>74</v>
      </c>
      <c r="B49" s="90">
        <v>0</v>
      </c>
      <c r="C49" s="90">
        <v>0</v>
      </c>
      <c r="D49" s="132" t="s">
        <v>82</v>
      </c>
      <c r="E49" s="93">
        <v>0</v>
      </c>
      <c r="F49" s="133">
        <f t="shared" ref="F49:F54" si="2">+C49-E49</f>
        <v>0</v>
      </c>
      <c r="G49" s="132" t="s">
        <v>83</v>
      </c>
      <c r="H49" s="93">
        <v>0</v>
      </c>
      <c r="I49" s="134">
        <f t="shared" ref="I49:I54" si="3">E49+H49</f>
        <v>0</v>
      </c>
      <c r="J49" s="133">
        <f t="shared" ref="J49:J55" si="4">+B49-I49</f>
        <v>0</v>
      </c>
      <c r="K49" s="136"/>
      <c r="L49" s="15"/>
      <c r="M49" s="15"/>
      <c r="P49" s="14"/>
      <c r="Q49" s="14"/>
      <c r="R49" s="14"/>
      <c r="S49" s="14"/>
      <c r="T49" s="11"/>
    </row>
    <row r="50" spans="1:20" s="7" customFormat="1" ht="30" customHeight="1" x14ac:dyDescent="0.2">
      <c r="A50" s="82" t="s">
        <v>75</v>
      </c>
      <c r="B50" s="90">
        <v>0</v>
      </c>
      <c r="C50" s="90">
        <v>0</v>
      </c>
      <c r="D50" s="132" t="s">
        <v>82</v>
      </c>
      <c r="E50" s="93">
        <v>0</v>
      </c>
      <c r="F50" s="133">
        <f t="shared" si="2"/>
        <v>0</v>
      </c>
      <c r="G50" s="132" t="s">
        <v>83</v>
      </c>
      <c r="H50" s="93">
        <v>0</v>
      </c>
      <c r="I50" s="134">
        <f t="shared" si="3"/>
        <v>0</v>
      </c>
      <c r="J50" s="133">
        <f t="shared" si="4"/>
        <v>0</v>
      </c>
      <c r="K50" s="136"/>
      <c r="L50" s="15"/>
      <c r="M50" s="15"/>
      <c r="P50" s="14"/>
      <c r="Q50" s="14"/>
      <c r="R50" s="14"/>
      <c r="S50" s="14"/>
      <c r="T50" s="11"/>
    </row>
    <row r="51" spans="1:20" s="7" customFormat="1" ht="30" customHeight="1" x14ac:dyDescent="0.2">
      <c r="A51" s="82" t="s">
        <v>76</v>
      </c>
      <c r="B51" s="90">
        <v>0</v>
      </c>
      <c r="C51" s="90">
        <v>0</v>
      </c>
      <c r="D51" s="132" t="s">
        <v>82</v>
      </c>
      <c r="E51" s="93">
        <v>0</v>
      </c>
      <c r="F51" s="133">
        <f t="shared" si="2"/>
        <v>0</v>
      </c>
      <c r="G51" s="132" t="s">
        <v>83</v>
      </c>
      <c r="H51" s="93">
        <v>0</v>
      </c>
      <c r="I51" s="134">
        <f t="shared" si="3"/>
        <v>0</v>
      </c>
      <c r="J51" s="133">
        <f t="shared" si="4"/>
        <v>0</v>
      </c>
      <c r="K51" s="136"/>
      <c r="L51" s="15"/>
      <c r="M51" s="15"/>
      <c r="P51" s="14"/>
      <c r="Q51" s="14"/>
      <c r="R51" s="14"/>
      <c r="S51" s="14"/>
      <c r="T51" s="11"/>
    </row>
    <row r="52" spans="1:20" s="7" customFormat="1" ht="30" customHeight="1" x14ac:dyDescent="0.2">
      <c r="A52" s="82" t="s">
        <v>77</v>
      </c>
      <c r="B52" s="90">
        <v>0</v>
      </c>
      <c r="C52" s="90">
        <v>0</v>
      </c>
      <c r="D52" s="132" t="s">
        <v>82</v>
      </c>
      <c r="E52" s="93">
        <v>0</v>
      </c>
      <c r="F52" s="133">
        <f t="shared" si="2"/>
        <v>0</v>
      </c>
      <c r="G52" s="132" t="s">
        <v>83</v>
      </c>
      <c r="H52" s="93">
        <v>0</v>
      </c>
      <c r="I52" s="134">
        <f t="shared" si="3"/>
        <v>0</v>
      </c>
      <c r="J52" s="133">
        <f t="shared" si="4"/>
        <v>0</v>
      </c>
      <c r="K52" s="136"/>
      <c r="L52" s="15"/>
      <c r="M52" s="15"/>
      <c r="P52" s="14"/>
      <c r="Q52" s="14"/>
      <c r="R52" s="14"/>
      <c r="S52" s="14"/>
      <c r="T52" s="11"/>
    </row>
    <row r="53" spans="1:20" s="7" customFormat="1" ht="30" customHeight="1" x14ac:dyDescent="0.2">
      <c r="A53" s="82" t="s">
        <v>78</v>
      </c>
      <c r="B53" s="90">
        <v>0</v>
      </c>
      <c r="C53" s="90">
        <v>0</v>
      </c>
      <c r="D53" s="132" t="s">
        <v>82</v>
      </c>
      <c r="E53" s="93">
        <v>0</v>
      </c>
      <c r="F53" s="133">
        <f t="shared" si="2"/>
        <v>0</v>
      </c>
      <c r="G53" s="132" t="s">
        <v>83</v>
      </c>
      <c r="H53" s="93">
        <v>0</v>
      </c>
      <c r="I53" s="134">
        <f t="shared" si="3"/>
        <v>0</v>
      </c>
      <c r="J53" s="133">
        <f t="shared" si="4"/>
        <v>0</v>
      </c>
      <c r="K53" s="135"/>
      <c r="L53" s="15"/>
      <c r="M53" s="15"/>
      <c r="P53" s="14"/>
      <c r="Q53" s="14"/>
      <c r="R53" s="14"/>
      <c r="S53" s="14"/>
      <c r="T53" s="11"/>
    </row>
    <row r="54" spans="1:20" s="7" customFormat="1" ht="30" customHeight="1" thickBot="1" x14ac:dyDescent="0.25">
      <c r="A54" s="137" t="s">
        <v>79</v>
      </c>
      <c r="B54" s="90">
        <v>0</v>
      </c>
      <c r="C54" s="90">
        <v>0</v>
      </c>
      <c r="D54" s="138" t="s">
        <v>82</v>
      </c>
      <c r="E54" s="93">
        <v>0</v>
      </c>
      <c r="F54" s="133">
        <f t="shared" si="2"/>
        <v>0</v>
      </c>
      <c r="G54" s="138" t="s">
        <v>83</v>
      </c>
      <c r="H54" s="93">
        <v>0</v>
      </c>
      <c r="I54" s="134">
        <f t="shared" si="3"/>
        <v>0</v>
      </c>
      <c r="J54" s="139">
        <f t="shared" si="4"/>
        <v>0</v>
      </c>
      <c r="K54" s="140"/>
      <c r="L54" s="15"/>
      <c r="M54" s="15"/>
      <c r="P54" s="11"/>
      <c r="Q54" s="11"/>
      <c r="R54" s="11"/>
      <c r="S54" s="11"/>
      <c r="T54" s="11"/>
    </row>
    <row r="55" spans="1:20" s="44" customFormat="1" ht="30" customHeight="1" thickBot="1" x14ac:dyDescent="0.25">
      <c r="A55" s="101" t="s">
        <v>1</v>
      </c>
      <c r="B55" s="102">
        <f>SUM(B48:B54)</f>
        <v>0</v>
      </c>
      <c r="C55" s="102">
        <f>SUM(C48:C54)</f>
        <v>0</v>
      </c>
      <c r="D55" s="103" t="s">
        <v>7</v>
      </c>
      <c r="E55" s="92">
        <f>SUM(E48:E54)</f>
        <v>0</v>
      </c>
      <c r="F55" s="102">
        <f>C55-E55</f>
        <v>0</v>
      </c>
      <c r="G55" s="103" t="s">
        <v>7</v>
      </c>
      <c r="H55" s="92">
        <f>SUM(H48:H54)</f>
        <v>0</v>
      </c>
      <c r="I55" s="92">
        <f>+E55+H55</f>
        <v>0</v>
      </c>
      <c r="J55" s="141">
        <f t="shared" si="4"/>
        <v>0</v>
      </c>
      <c r="K55" s="105"/>
      <c r="P55" s="43"/>
      <c r="Q55" s="43"/>
      <c r="R55" s="43"/>
      <c r="T55" s="43"/>
    </row>
    <row r="57" spans="1:20" x14ac:dyDescent="0.2">
      <c r="I57" s="63"/>
    </row>
    <row r="58" spans="1:20" s="7" customFormat="1" ht="14.25" customHeight="1" thickBot="1" x14ac:dyDescent="0.25">
      <c r="A58" s="32" t="s">
        <v>69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5"/>
      <c r="M58" s="15"/>
      <c r="P58" s="11"/>
      <c r="Q58" s="11"/>
      <c r="R58" s="11"/>
      <c r="T58" s="11"/>
    </row>
    <row r="59" spans="1:20" s="7" customFormat="1" ht="14.25" customHeight="1" x14ac:dyDescent="0.2">
      <c r="A59" s="161" t="s">
        <v>27</v>
      </c>
      <c r="B59" s="158"/>
      <c r="C59" s="158"/>
      <c r="D59" s="158" t="s">
        <v>30</v>
      </c>
      <c r="E59" s="158"/>
      <c r="F59" s="158"/>
      <c r="G59" s="158"/>
      <c r="H59" s="158"/>
      <c r="I59" s="158"/>
      <c r="J59" s="158"/>
      <c r="K59" s="153" t="s">
        <v>8</v>
      </c>
      <c r="L59" s="15"/>
      <c r="M59" s="15"/>
      <c r="P59" s="11"/>
      <c r="Q59" s="11"/>
      <c r="R59" s="11"/>
      <c r="T59" s="11"/>
    </row>
    <row r="60" spans="1:20" s="7" customFormat="1" ht="14.25" customHeight="1" x14ac:dyDescent="0.2">
      <c r="A60" s="163" t="s">
        <v>50</v>
      </c>
      <c r="B60" s="155" t="s">
        <v>84</v>
      </c>
      <c r="C60" s="155" t="s">
        <v>85</v>
      </c>
      <c r="D60" s="155" t="s">
        <v>18</v>
      </c>
      <c r="E60" s="156"/>
      <c r="F60" s="156"/>
      <c r="G60" s="155" t="s">
        <v>21</v>
      </c>
      <c r="H60" s="155"/>
      <c r="I60" s="33" t="s">
        <v>34</v>
      </c>
      <c r="J60" s="157" t="s">
        <v>87</v>
      </c>
      <c r="K60" s="154"/>
      <c r="L60" s="15"/>
      <c r="M60" s="15"/>
      <c r="P60" s="11"/>
      <c r="Q60" s="11"/>
      <c r="R60" s="11"/>
      <c r="T60" s="11"/>
    </row>
    <row r="61" spans="1:20" s="7" customFormat="1" ht="24" x14ac:dyDescent="0.2">
      <c r="A61" s="163"/>
      <c r="B61" s="155"/>
      <c r="C61" s="155"/>
      <c r="D61" s="33" t="s">
        <v>53</v>
      </c>
      <c r="E61" s="33" t="s">
        <v>86</v>
      </c>
      <c r="F61" s="35" t="s">
        <v>87</v>
      </c>
      <c r="G61" s="33" t="s">
        <v>53</v>
      </c>
      <c r="H61" s="33" t="s">
        <v>86</v>
      </c>
      <c r="I61" s="33" t="s">
        <v>35</v>
      </c>
      <c r="J61" s="157"/>
      <c r="K61" s="154"/>
      <c r="L61" s="15"/>
      <c r="M61" s="15"/>
      <c r="P61" s="11"/>
      <c r="Q61" s="11"/>
      <c r="R61" s="11"/>
      <c r="T61" s="11"/>
    </row>
    <row r="62" spans="1:20" s="7" customFormat="1" ht="14.25" customHeight="1" x14ac:dyDescent="0.2">
      <c r="A62" s="60" t="s">
        <v>3</v>
      </c>
      <c r="B62" s="58" t="s">
        <v>19</v>
      </c>
      <c r="C62" s="58" t="s">
        <v>4</v>
      </c>
      <c r="D62" s="58" t="s">
        <v>5</v>
      </c>
      <c r="E62" s="58" t="s">
        <v>33</v>
      </c>
      <c r="F62" s="59" t="s">
        <v>39</v>
      </c>
      <c r="G62" s="58" t="s">
        <v>20</v>
      </c>
      <c r="H62" s="58" t="s">
        <v>9</v>
      </c>
      <c r="I62" s="58" t="s">
        <v>37</v>
      </c>
      <c r="J62" s="59" t="s">
        <v>38</v>
      </c>
      <c r="K62" s="61" t="s">
        <v>12</v>
      </c>
      <c r="L62" s="15"/>
      <c r="M62" s="15"/>
      <c r="P62" s="11"/>
      <c r="Q62" s="11"/>
      <c r="R62" s="11"/>
      <c r="T62" s="11"/>
    </row>
    <row r="63" spans="1:20" s="7" customFormat="1" ht="30" customHeight="1" thickBot="1" x14ac:dyDescent="0.25">
      <c r="A63" s="121" t="s">
        <v>50</v>
      </c>
      <c r="B63" s="142">
        <f>E63+H63</f>
        <v>0</v>
      </c>
      <c r="C63" s="142">
        <v>0</v>
      </c>
      <c r="D63" s="124" t="s">
        <v>70</v>
      </c>
      <c r="E63" s="93">
        <v>0</v>
      </c>
      <c r="F63" s="143">
        <f>+C63-E63</f>
        <v>0</v>
      </c>
      <c r="G63" s="124" t="s">
        <v>71</v>
      </c>
      <c r="H63" s="93">
        <v>0</v>
      </c>
      <c r="I63" s="144">
        <f>E63+H63</f>
        <v>0</v>
      </c>
      <c r="J63" s="145">
        <f>+B63-I63</f>
        <v>0</v>
      </c>
      <c r="K63" s="146"/>
      <c r="L63" s="15"/>
      <c r="M63" s="15"/>
      <c r="P63" s="11"/>
      <c r="Q63" s="11"/>
      <c r="R63" s="11"/>
      <c r="T63" s="11"/>
    </row>
    <row r="64" spans="1:20" s="45" customFormat="1" ht="30" customHeight="1" thickBot="1" x14ac:dyDescent="0.25">
      <c r="A64" s="101" t="s">
        <v>1</v>
      </c>
      <c r="B64" s="147">
        <f>B63</f>
        <v>0</v>
      </c>
      <c r="C64" s="147">
        <f>C63</f>
        <v>0</v>
      </c>
      <c r="D64" s="103" t="s">
        <v>7</v>
      </c>
      <c r="E64" s="148">
        <f>SUM(E63:E63)</f>
        <v>0</v>
      </c>
      <c r="F64" s="147">
        <f>+C64-E64</f>
        <v>0</v>
      </c>
      <c r="G64" s="103" t="s">
        <v>7</v>
      </c>
      <c r="H64" s="148">
        <f>SUM(H63:H63)</f>
        <v>0</v>
      </c>
      <c r="I64" s="147">
        <f>+E64+H64</f>
        <v>0</v>
      </c>
      <c r="J64" s="147">
        <f>+B64-I64</f>
        <v>0</v>
      </c>
      <c r="K64" s="105"/>
    </row>
    <row r="66" spans="1:11" ht="16.5" x14ac:dyDescent="0.3">
      <c r="A66" s="17" t="s">
        <v>40</v>
      </c>
      <c r="B66" s="18"/>
      <c r="C66" s="18"/>
      <c r="D66" s="18"/>
      <c r="E66" s="18"/>
      <c r="F66" s="27" t="s">
        <v>10</v>
      </c>
      <c r="G66" s="19"/>
      <c r="H66" s="19"/>
      <c r="I66" s="18"/>
      <c r="J66" s="18"/>
      <c r="K66" s="20"/>
    </row>
    <row r="67" spans="1:11" ht="44.25" customHeight="1" x14ac:dyDescent="0.2">
      <c r="A67" s="88"/>
      <c r="B67" s="26"/>
      <c r="C67" s="26"/>
      <c r="D67" s="26"/>
      <c r="E67" s="26"/>
      <c r="F67" s="89"/>
      <c r="G67" s="23"/>
      <c r="H67" s="23"/>
      <c r="I67" s="23"/>
      <c r="J67" s="23"/>
      <c r="K67" s="24"/>
    </row>
    <row r="71" spans="1:11" x14ac:dyDescent="0.2">
      <c r="D71" s="63"/>
      <c r="E71" s="63"/>
      <c r="F71" s="63"/>
    </row>
  </sheetData>
  <customSheetViews>
    <customSheetView guid="{9D9A0009-90F2-4EE5-8638-E6DF44913311}" scale="80" showPageBreaks="1" printArea="1" view="pageBreakPreview">
      <selection activeCell="B19" sqref="B19"/>
      <rowBreaks count="3" manualBreakCount="3">
        <brk id="32" max="10" man="1"/>
        <brk id="39" max="10" man="1"/>
        <brk id="60" max="10" man="1"/>
      </rowBreaks>
      <pageMargins left="0.51181102362204722" right="0.43307086614173229" top="0.55118110236220474" bottom="0.51181102362204722" header="0.39370078740157483" footer="0.39370078740157483"/>
      <pageSetup paperSize="9" scale="67" orientation="landscape" horizontalDpi="4294967295" verticalDpi="4294967295" r:id="rId1"/>
      <headerFooter alignWithMargins="0"/>
    </customSheetView>
    <customSheetView guid="{A9A14C41-2CA9-4BEC-B363-398365CC1D54}" showPageBreaks="1" printArea="1" view="pageBreakPreview">
      <selection activeCell="D19" sqref="D19"/>
      <rowBreaks count="1" manualBreakCount="1">
        <brk id="38" max="10" man="1"/>
      </rowBreaks>
      <pageMargins left="0.51181102362204722" right="0.43307086614173229" top="0.55118110236220474" bottom="0.51181102362204722" header="0.39370078740157483" footer="0.39370078740157483"/>
      <pageSetup paperSize="9" scale="50" orientation="landscape" verticalDpi="599" r:id="rId2"/>
      <headerFooter alignWithMargins="0"/>
    </customSheetView>
    <customSheetView guid="{44C4D77F-47B8-4BC8-9AE5-2F1F4733418A}" showPageBreaks="1" printArea="1" view="pageBreakPreview" topLeftCell="A52">
      <selection activeCell="E67" sqref="E67"/>
      <rowBreaks count="3" manualBreakCount="3">
        <brk id="32" max="10" man="1"/>
        <brk id="39" max="10" man="1"/>
        <brk id="60" max="10" man="1"/>
      </rowBreaks>
      <pageMargins left="0.51181102362204722" right="0.43307086614173229" top="0.55118110236220474" bottom="0.51181102362204722" header="0.39370078740157483" footer="0.39370078740157483"/>
      <pageSetup paperSize="9" scale="67" orientation="landscape" horizontalDpi="4294967295" verticalDpi="4294967295" r:id="rId3"/>
      <headerFooter alignWithMargins="0"/>
    </customSheetView>
    <customSheetView guid="{30C70F83-F339-495D-B51C-F452948E6954}" scale="80" showPageBreaks="1" printArea="1" view="pageBreakPreview" topLeftCell="A37">
      <selection activeCell="D44" sqref="D44:J44"/>
      <rowBreaks count="1" manualBreakCount="1">
        <brk id="38" max="10" man="1"/>
      </rowBreaks>
      <pageMargins left="0.51181102362204722" right="0.43307086614173229" top="0.55118110236220474" bottom="0.51181102362204722" header="0.39370078740157483" footer="0.39370078740157483"/>
      <pageSetup paperSize="9" scale="61" orientation="landscape" verticalDpi="599" r:id="rId4"/>
      <headerFooter alignWithMargins="0"/>
    </customSheetView>
    <customSheetView guid="{B30FE910-0AD5-4C1E-A436-4702426EBE7A}" showPageBreaks="1" printArea="1" view="pageBreakPreview" topLeftCell="A31">
      <selection activeCell="G19" sqref="G19:G25"/>
      <rowBreaks count="2" manualBreakCount="2">
        <brk id="39" max="10" man="1"/>
        <brk id="66" max="10" man="1"/>
      </rowBreaks>
      <pageMargins left="0.51181102362204722" right="0.43307086614173229" top="0.55118110236220474" bottom="0.51181102362204722" header="0.39370078740157483" footer="0.39370078740157483"/>
      <pageSetup paperSize="9" scale="67" orientation="landscape" horizontalDpi="4294967295" verticalDpi="4294967295" r:id="rId5"/>
      <headerFooter alignWithMargins="0"/>
    </customSheetView>
    <customSheetView guid="{CD80D8D3-BB74-491E-969D-3F4A25E60C0D}" showPageBreaks="1" view="pageBreakPreview" topLeftCell="A39">
      <selection activeCell="D48" sqref="D48:E48"/>
      <rowBreaks count="1" manualBreakCount="1">
        <brk id="39" max="10" man="1"/>
      </rowBreaks>
      <pageMargins left="0.51181102362204722" right="0.43307086614173229" top="0.55118110236220474" bottom="0.51181102362204722" header="0.39370078740157483" footer="0.39370078740157483"/>
      <pageSetup paperSize="9" scale="67" orientation="landscape" horizontalDpi="4294967295" verticalDpi="4294967295" r:id="rId6"/>
      <headerFooter alignWithMargins="0"/>
    </customSheetView>
    <customSheetView guid="{3D8D3A44-8FF1-44E5-9226-BF952583CB31}" scale="80" showPageBreaks="1" view="pageBreakPreview">
      <selection activeCell="E20" sqref="E20"/>
      <rowBreaks count="1" manualBreakCount="1">
        <brk id="39" max="10" man="1"/>
      </rowBreaks>
      <pageMargins left="0.51181102362204722" right="0.43307086614173229" top="0.55118110236220474" bottom="0.51181102362204722" header="0.39370078740157483" footer="0.39370078740157483"/>
      <pageSetup paperSize="9" scale="67" orientation="landscape" horizontalDpi="4294967295" verticalDpi="4294967295" r:id="rId7"/>
      <headerFooter alignWithMargins="0"/>
    </customSheetView>
    <customSheetView guid="{8EB00C77-8F4F-4595-BC90-49881368F25B}" showPageBreaks="1" fitToPage="1" view="pageBreakPreview" topLeftCell="A58">
      <selection activeCell="D67" sqref="D67"/>
      <rowBreaks count="1" manualBreakCount="1">
        <brk id="39" max="10" man="1"/>
      </rowBreaks>
      <pageMargins left="0.51181102362204722" right="0.43307086614173229" top="0.55118110236220474" bottom="0.51181102362204722" header="0.39370078740157483" footer="0.39370078740157483"/>
      <pageSetup paperSize="9" scale="70" fitToHeight="0" orientation="landscape" horizontalDpi="4294967295" verticalDpi="4294967295" r:id="rId8"/>
      <headerFooter alignWithMargins="0"/>
    </customSheetView>
  </customSheetViews>
  <mergeCells count="33">
    <mergeCell ref="A59:C59"/>
    <mergeCell ref="D59:J59"/>
    <mergeCell ref="K59:K61"/>
    <mergeCell ref="A60:A61"/>
    <mergeCell ref="B60:B61"/>
    <mergeCell ref="C60:C61"/>
    <mergeCell ref="D60:F60"/>
    <mergeCell ref="G60:H60"/>
    <mergeCell ref="J60:J61"/>
    <mergeCell ref="B45:B46"/>
    <mergeCell ref="A44:C44"/>
    <mergeCell ref="A45:A46"/>
    <mergeCell ref="C45:C46"/>
    <mergeCell ref="B30:B31"/>
    <mergeCell ref="C30:D30"/>
    <mergeCell ref="A30:A31"/>
    <mergeCell ref="B2:C2"/>
    <mergeCell ref="A15:B15"/>
    <mergeCell ref="B16:B17"/>
    <mergeCell ref="A16:A17"/>
    <mergeCell ref="A4:I5"/>
    <mergeCell ref="C16:D16"/>
    <mergeCell ref="E16:F16"/>
    <mergeCell ref="I15:I17"/>
    <mergeCell ref="C15:H15"/>
    <mergeCell ref="E30:F30"/>
    <mergeCell ref="I30:I31"/>
    <mergeCell ref="H12:I12"/>
    <mergeCell ref="K44:K46"/>
    <mergeCell ref="D45:F45"/>
    <mergeCell ref="G45:H45"/>
    <mergeCell ref="J45:J46"/>
    <mergeCell ref="D44:J44"/>
  </mergeCells>
  <phoneticPr fontId="4" type="noConversion"/>
  <pageMargins left="0.51181102362204722" right="0.43307086614173229" top="0.55118110236220474" bottom="0.51181102362204722" header="0.39370078740157483" footer="0.39370078740157483"/>
  <pageSetup paperSize="9" scale="64" fitToHeight="0" orientation="landscape" horizontalDpi="4294967295" verticalDpi="4294967295" r:id="rId9"/>
  <headerFooter alignWithMargins="0"/>
  <rowBreaks count="1" manualBreakCount="1">
    <brk id="39" max="10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30</vt:i4>
      </vt:variant>
    </vt:vector>
  </HeadingPairs>
  <TitlesOfParts>
    <vt:vector size="31" baseType="lpstr">
      <vt:lpstr>6403</vt:lpstr>
      <vt:lpstr>DO_101</vt:lpstr>
      <vt:lpstr>DO_102</vt:lpstr>
      <vt:lpstr>DO_103</vt:lpstr>
      <vt:lpstr>DO_201</vt:lpstr>
      <vt:lpstr>DO_202</vt:lpstr>
      <vt:lpstr>DO_302</vt:lpstr>
      <vt:lpstr>DO_501</vt:lpstr>
      <vt:lpstr>Donem</vt:lpstr>
      <vt:lpstr>GA_A_101</vt:lpstr>
      <vt:lpstr>GA_A_102</vt:lpstr>
      <vt:lpstr>GA_A_103</vt:lpstr>
      <vt:lpstr>GA_A_201</vt:lpstr>
      <vt:lpstr>GA_A_202</vt:lpstr>
      <vt:lpstr>GA_A_302</vt:lpstr>
      <vt:lpstr>GA_A_501</vt:lpstr>
      <vt:lpstr>GA_T_101</vt:lpstr>
      <vt:lpstr>GA_T_102</vt:lpstr>
      <vt:lpstr>GA_T_103</vt:lpstr>
      <vt:lpstr>GA_T_201</vt:lpstr>
      <vt:lpstr>GA_T_202</vt:lpstr>
      <vt:lpstr>GA_T_302</vt:lpstr>
      <vt:lpstr>GA_T_501</vt:lpstr>
      <vt:lpstr>gozdenGeciren</vt:lpstr>
      <vt:lpstr>HazirlamaTarihi</vt:lpstr>
      <vt:lpstr>hazirlayan</vt:lpstr>
      <vt:lpstr>KayitSayisi1</vt:lpstr>
      <vt:lpstr>KayitSayisi2</vt:lpstr>
      <vt:lpstr>kontrolEden</vt:lpstr>
      <vt:lpstr>'6403'!Yazdırma_Alanı</vt:lpstr>
      <vt:lpstr>'6403'!Yazdırma_Başlıkları</vt:lpstr>
    </vt:vector>
  </TitlesOfParts>
  <Company>Noble Invest OU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Reconciliation Forms - NF Turkey</dc:title>
  <dc:creator>Andra Larin-van der Pijl</dc:creator>
  <cp:lastModifiedBy>Can</cp:lastModifiedBy>
  <cp:lastPrinted>2017-12-17T12:23:35Z</cp:lastPrinted>
  <dcterms:created xsi:type="dcterms:W3CDTF">2009-03-17T14:08:23Z</dcterms:created>
  <dcterms:modified xsi:type="dcterms:W3CDTF">2017-12-17T14:44:41Z</dcterms:modified>
</cp:coreProperties>
</file>