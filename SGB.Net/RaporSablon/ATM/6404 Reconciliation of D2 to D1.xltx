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24226"/>
  <bookViews>
    <workbookView xWindow="0" yWindow="0" windowWidth="24000" windowHeight="9180"/>
  </bookViews>
  <sheets>
    <sheet name="6404" sheetId="1" r:id="rId1"/>
  </sheets>
  <definedNames>
    <definedName name="DO_1_101">'6404'!$B$19</definedName>
    <definedName name="DO_1_102">'6404'!$B$20</definedName>
    <definedName name="DO_1_103">'6404'!$B$21</definedName>
    <definedName name="DO_1_201">'6404'!$B$22</definedName>
    <definedName name="DO_1_202">'6404'!$B$23</definedName>
    <definedName name="DO_1_302">'6404'!$B$24</definedName>
    <definedName name="DO_1_501">'6404'!$B$25</definedName>
    <definedName name="DO_2_101">'6404'!$E$19</definedName>
    <definedName name="DO_2_102">'6404'!$E$20</definedName>
    <definedName name="DO_2_103">'6404'!$E$21</definedName>
    <definedName name="DO_2_201">'6404'!$E$22</definedName>
    <definedName name="DO_2_202">'6404'!$E$23</definedName>
    <definedName name="DO_2_302">'6404'!$E$24</definedName>
    <definedName name="DO_2_501">'6404'!$E$25</definedName>
    <definedName name="DO_3_101">'6404'!$H$19</definedName>
    <definedName name="DO_3_102">'6404'!$H$20</definedName>
    <definedName name="DO_3_103">'6404'!$H$21</definedName>
    <definedName name="DO_3_201">'6404'!$H$22</definedName>
    <definedName name="DO_3_202">'6404'!$H$23</definedName>
    <definedName name="DO_3_302">'6404'!$H$24</definedName>
    <definedName name="DO_3_501">'6404'!$H$25</definedName>
    <definedName name="DO_4_101">'6404'!$K$19</definedName>
    <definedName name="DO_4_102">'6404'!$K$20</definedName>
    <definedName name="DO_4_103">'6404'!$K$21</definedName>
    <definedName name="DO_4_201">'6404'!$K$22</definedName>
    <definedName name="DO_4_202">'6404'!$K$23</definedName>
    <definedName name="DO_4_302">'6404'!$K$24</definedName>
    <definedName name="DO_4_501">'6404'!$K$25</definedName>
    <definedName name="DO_5_101">'6404'!$Q$19</definedName>
    <definedName name="DO_5_102">'6404'!$Q$20</definedName>
    <definedName name="DO_5_103">'6404'!$Q$21</definedName>
    <definedName name="DO_5_201">'6404'!$Q$22</definedName>
    <definedName name="DO_5_202">'6404'!$Q$23</definedName>
    <definedName name="DO_5_302">'6404'!$Q$24</definedName>
    <definedName name="DO_5_501">'6404'!$Q$25</definedName>
    <definedName name="Donem">'6404'!$Q$6</definedName>
    <definedName name="gozdenGeciren">'6404'!$H$9</definedName>
    <definedName name="HazirlamaTarihi">'6404'!$B$3</definedName>
    <definedName name="hazirlayan">'6404'!$B$9</definedName>
    <definedName name="KayitSayisi1">'6404'!$C$3</definedName>
    <definedName name="kontrolEden">'6404'!$E$9</definedName>
    <definedName name="onaylayan">'6404'!$K$9</definedName>
  </definedNames>
  <calcPr calcId="152511"/>
</workbook>
</file>

<file path=xl/calcChain.xml><?xml version="1.0" encoding="utf-8"?>
<calcChain xmlns="http://schemas.openxmlformats.org/spreadsheetml/2006/main">
  <c r="K11" i="1" l="1"/>
  <c r="H11" i="1"/>
  <c r="E11" i="1"/>
  <c r="B11" i="1"/>
  <c r="N20" i="1" l="1"/>
  <c r="O20" i="1"/>
  <c r="R20" i="1" s="1"/>
  <c r="N21" i="1"/>
  <c r="O21" i="1"/>
  <c r="R21" i="1"/>
  <c r="N22" i="1"/>
  <c r="O22" i="1"/>
  <c r="R22" i="1" s="1"/>
  <c r="N23" i="1"/>
  <c r="O23" i="1"/>
  <c r="R23" i="1"/>
  <c r="N24" i="1"/>
  <c r="O24" i="1"/>
  <c r="R24" i="1"/>
  <c r="N25" i="1"/>
  <c r="O25" i="1"/>
  <c r="R25" i="1" s="1"/>
  <c r="R19" i="1"/>
  <c r="O19" i="1"/>
  <c r="N19" i="1"/>
  <c r="P26" i="1" l="1"/>
  <c r="Q26" i="1"/>
  <c r="N26" i="1"/>
  <c r="E26" i="1"/>
  <c r="M26" i="1"/>
  <c r="L26" i="1"/>
  <c r="K26" i="1"/>
  <c r="J26" i="1"/>
  <c r="I26" i="1"/>
  <c r="H26" i="1"/>
  <c r="G26" i="1"/>
  <c r="F26" i="1"/>
  <c r="D26" i="1"/>
  <c r="C26" i="1"/>
  <c r="B26" i="1"/>
  <c r="O26" i="1"/>
  <c r="R26" i="1"/>
</calcChain>
</file>

<file path=xl/comments1.xml><?xml version="1.0" encoding="utf-8"?>
<comments xmlns="http://schemas.openxmlformats.org/spreadsheetml/2006/main">
  <authors>
    <author>Yazar</author>
  </authors>
  <commentList>
    <comment ref="R16" authorId="0" shapeId="0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misspelling</t>
        </r>
      </text>
    </comment>
  </commentList>
</comments>
</file>

<file path=xl/sharedStrings.xml><?xml version="1.0" encoding="utf-8"?>
<sst xmlns="http://schemas.openxmlformats.org/spreadsheetml/2006/main" count="76" uniqueCount="64">
  <si>
    <t>ARDSI</t>
  </si>
  <si>
    <r>
      <t xml:space="preserve"> ACCOUNTING                                                                                                                                                                                  </t>
    </r>
    <r>
      <rPr>
        <b/>
        <sz val="12"/>
        <color indexed="9"/>
        <rFont val="Tahoma"/>
        <family val="2"/>
        <charset val="162"/>
      </rPr>
      <t xml:space="preserve"> </t>
    </r>
  </si>
  <si>
    <t xml:space="preserve">Controlled by: </t>
  </si>
  <si>
    <t xml:space="preserve">Reviewed by: </t>
  </si>
  <si>
    <t xml:space="preserve">Approved by: </t>
  </si>
  <si>
    <t>Visa</t>
  </si>
  <si>
    <r>
      <t xml:space="preserve">Table 1: </t>
    </r>
    <r>
      <rPr>
        <sz val="11"/>
        <color theme="1"/>
        <rFont val="Calibri"/>
        <family val="2"/>
        <charset val="162"/>
        <scheme val="minor"/>
      </rPr>
      <t xml:space="preserve"> Reconciliation of the Community part that has been requested to IPARD in quarterly declarations for the financial year, to the Form D-2 and ARDSI accounting records</t>
    </r>
  </si>
  <si>
    <t>In Euros</t>
  </si>
  <si>
    <t>Measure / Axis</t>
  </si>
  <si>
    <t>Form D-1 for Quarter 1</t>
  </si>
  <si>
    <t>Form D-1 for Quarter 2</t>
  </si>
  <si>
    <t>Form D-1 for Quarter 3</t>
  </si>
  <si>
    <t>Form D-1 for Quarter 4</t>
  </si>
  <si>
    <t xml:space="preserve">Balance calculated: Public expenditure </t>
  </si>
  <si>
    <t xml:space="preserve">Community contribution - ARDSI Accounts </t>
  </si>
  <si>
    <t>Form D-2</t>
  </si>
  <si>
    <t>Balance calculated: Community contribution</t>
  </si>
  <si>
    <t>Explanation of Differences</t>
  </si>
  <si>
    <t>Public expenditure reported in the Declaration</t>
  </si>
  <si>
    <t>Public expenditure - ARDSI Accounts</t>
  </si>
  <si>
    <t>Community contribution - ARDSI Accounts</t>
  </si>
  <si>
    <t xml:space="preserve">Community part that has been requested to IPARD  for the financial year </t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</si>
  <si>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</si>
  <si>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</si>
  <si>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</si>
  <si>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</si>
  <si>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</si>
  <si>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</si>
  <si>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</si>
  <si>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</si>
  <si>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</si>
  <si>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</si>
  <si>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</si>
  <si>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</si>
  <si>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</si>
  <si>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(14)=[(2)+(5)+(8)+(11)]-[(3)+(6)+(9)+(12)]</t>
  </si>
  <si>
    <t>(15)=(4)+(7)+(10)+(13)</t>
  </si>
  <si>
    <t>(16)</t>
  </si>
  <si>
    <t>Grand Total</t>
  </si>
  <si>
    <t xml:space="preserve"> Explanation of the differences</t>
  </si>
  <si>
    <t>Actions taken (dates and details):</t>
  </si>
  <si>
    <t xml:space="preserve">Appended documents: </t>
  </si>
  <si>
    <t>Copy of Form D 2 - Annual Declaration</t>
  </si>
  <si>
    <t>Copies of Form D 1 -Quarterly Declarations</t>
  </si>
  <si>
    <t>Copies of the relevant accounting ledgers</t>
  </si>
  <si>
    <t>Recoveries/Corrections-Community Contribution in ARDSI Accounts</t>
  </si>
  <si>
    <t>(18)=(15)-(16+17)</t>
  </si>
  <si>
    <t>(19)</t>
  </si>
  <si>
    <t xml:space="preserve">    Tick</t>
  </si>
  <si>
    <t xml:space="preserve"> 6404 RECONCILIATION OF D-2 TO D-1 and ARDSI RECORDS </t>
  </si>
  <si>
    <t>VERSION 10.4</t>
  </si>
  <si>
    <t>AE</t>
  </si>
  <si>
    <t>SAE</t>
  </si>
  <si>
    <t>Coordinator</t>
  </si>
  <si>
    <t>501 Technical Assistance</t>
  </si>
  <si>
    <t>302  Diversification and development of rural economic activities</t>
  </si>
  <si>
    <t>202  Preparation and implementation of local rural development strategies</t>
  </si>
  <si>
    <t>201   Actions to improve environment and countryside</t>
  </si>
  <si>
    <t>103  Investments in the processing and marketing of agriculture and fishery products</t>
  </si>
  <si>
    <t>102  Support for the setting-up of producer groups</t>
  </si>
  <si>
    <t>101  Investments in agricultural holdings</t>
  </si>
  <si>
    <t>General Coordinator of GCUF</t>
  </si>
  <si>
    <t xml:space="preserve">Prepared by: </t>
  </si>
  <si>
    <t xml:space="preserve">Period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</si>
</sst>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_T_L_-;\-* #,##0.00\ _T_L_-;_-* &quot;-&quot;??\ _T_L_-;_-@_-"/>
    <numFmt numFmtId="165" formatCode="_-* #,##0.00\ _k_r_-;\-* #,##0.00\ _k_r_-;_-* &quot;-&quot;??\ _k_r_-;_-@_-"/>
    <numFmt numFmtId="166" formatCode="0_ ;[Red]\-0\ "/>
  </numFmts>
  <fonts count="30" x14ac:knownFonts="1">
    <font>
      <sz val="11"/>
      <color theme="1"/>
      <name val="Calibri"/>
      <family val="2"/>
      <charset val="162"/>
      <scheme val="minor"/>
    </font>
    <font>
      <sz val="12"/>
      <name val="Arial"/>
      <family val="2"/>
      <charset val="162"/>
    </font>
    <font>
      <sz val="12"/>
      <name val="Arial Narrow"/>
      <family val="2"/>
    </font>
    <font>
      <b/>
      <sz val="16"/>
      <color indexed="54"/>
      <name val="Tahoma"/>
      <family val="2"/>
      <charset val="162"/>
    </font>
    <font>
      <b/>
      <sz val="12"/>
      <color indexed="9"/>
      <name val="Tahoma"/>
      <family val="2"/>
      <charset val="162"/>
    </font>
    <font>
      <b/>
      <sz val="8"/>
      <color indexed="9"/>
      <name val="Tahoma"/>
      <family val="2"/>
      <charset val="162"/>
    </font>
    <font>
      <b/>
      <sz val="11"/>
      <name val="Wide Latin"/>
      <family val="1"/>
    </font>
    <font>
      <b/>
      <sz val="14"/>
      <name val="Tahoma"/>
      <family val="2"/>
      <charset val="162"/>
    </font>
    <font>
      <b/>
      <sz val="12"/>
      <name val="Arial"/>
      <family val="2"/>
      <charset val="238"/>
    </font>
    <font>
      <sz val="10"/>
      <name val="Arial"/>
      <family val="2"/>
      <charset val="16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  <charset val="162"/>
    </font>
    <font>
      <b/>
      <u/>
      <sz val="11"/>
      <color indexed="10"/>
      <name val="Arial Narrow"/>
      <family val="2"/>
    </font>
    <font>
      <sz val="11"/>
      <name val="Arial Narrow"/>
      <family val="2"/>
    </font>
    <font>
      <b/>
      <u/>
      <sz val="11"/>
      <color indexed="18"/>
      <name val="Arial Narrow"/>
      <family val="2"/>
    </font>
    <font>
      <sz val="10"/>
      <name val="Arial Narrow"/>
      <family val="2"/>
      <charset val="162"/>
    </font>
    <font>
      <b/>
      <u/>
      <sz val="12"/>
      <color indexed="18"/>
      <name val="Arial Narrow"/>
      <family val="2"/>
    </font>
    <font>
      <b/>
      <sz val="9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sz val="10"/>
      <name val="Arial"/>
      <family val="2"/>
      <charset val="162"/>
    </font>
    <font>
      <b/>
      <sz val="11"/>
      <name val="Arial Narrow"/>
      <family val="2"/>
    </font>
    <font>
      <b/>
      <sz val="10"/>
      <name val="Arial Narrow"/>
      <family val="2"/>
    </font>
    <font>
      <i/>
      <sz val="9"/>
      <name val="Arial"/>
      <family val="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 style="thin">
        <color indexed="62"/>
      </top>
      <bottom/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</borders>
  <cellStyleXfs count="4">
    <xf numFmtId="0" fontId="0" fillId="0" borderId="0"/>
    <xf numFmtId="0" fontId="24" fillId="0" borderId="0"/>
    <xf numFmtId="164" fontId="28" fillId="0" borderId="0" applyFont="0" applyFill="0" applyBorder="0" applyAlignment="0" applyProtection="0"/>
    <xf numFmtId="165" fontId="24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 applyBorder="1" applyAlignment="1">
      <alignment vertical="top" wrapText="1"/>
    </xf>
    <xf numFmtId="0" fontId="2" fillId="0" borderId="0" xfId="0" applyFont="1"/>
    <xf numFmtId="0" fontId="4" fillId="2" borderId="1" xfId="0" applyFont="1" applyFill="1" applyBorder="1" applyAlignment="1"/>
    <xf numFmtId="0" fontId="4" fillId="2" borderId="0" xfId="0" applyFont="1" applyFill="1" applyBorder="1" applyAlignment="1"/>
    <xf numFmtId="0" fontId="5" fillId="2" borderId="0" xfId="0" applyFont="1" applyFill="1" applyBorder="1" applyAlignment="1">
      <alignment horizontal="right"/>
    </xf>
    <xf numFmtId="0" fontId="1" fillId="0" borderId="0" xfId="0" applyFont="1"/>
    <xf numFmtId="0" fontId="0" fillId="0" borderId="0" xfId="0" applyBorder="1" applyAlignment="1">
      <alignment vertical="top" wrapText="1"/>
    </xf>
    <xf numFmtId="0" fontId="6" fillId="0" borderId="0" xfId="0" applyFont="1" applyBorder="1" applyAlignment="1"/>
    <xf numFmtId="0" fontId="2" fillId="0" borderId="0" xfId="0" applyFont="1" applyAlignment="1"/>
    <xf numFmtId="165" fontId="8" fillId="0" borderId="0" xfId="2" applyNumberFormat="1" applyFont="1" applyFill="1" applyBorder="1" applyAlignment="1">
      <alignment horizontal="left"/>
    </xf>
    <xf numFmtId="0" fontId="9" fillId="0" borderId="0" xfId="0" applyFont="1" applyBorder="1" applyAlignment="1">
      <alignment vertical="top" wrapText="1"/>
    </xf>
    <xf numFmtId="0" fontId="10" fillId="3" borderId="2" xfId="0" applyFont="1" applyFill="1" applyBorder="1"/>
    <xf numFmtId="0" fontId="10" fillId="3" borderId="3" xfId="0" applyFont="1" applyFill="1" applyBorder="1"/>
    <xf numFmtId="0" fontId="10" fillId="0" borderId="0" xfId="0" applyFont="1" applyBorder="1"/>
    <xf numFmtId="0" fontId="9" fillId="0" borderId="0" xfId="0" applyFont="1" applyBorder="1"/>
    <xf numFmtId="0" fontId="9" fillId="0" borderId="0" xfId="0" applyFont="1" applyFill="1" applyBorder="1" applyAlignment="1">
      <alignment vertical="top"/>
    </xf>
    <xf numFmtId="0" fontId="9" fillId="0" borderId="4" xfId="0" applyFont="1" applyBorder="1"/>
    <xf numFmtId="0" fontId="9" fillId="0" borderId="5" xfId="0" applyFont="1" applyBorder="1"/>
    <xf numFmtId="14" fontId="9" fillId="0" borderId="5" xfId="0" applyNumberFormat="1" applyFont="1" applyBorder="1"/>
    <xf numFmtId="14" fontId="9" fillId="0" borderId="0" xfId="0" applyNumberFormat="1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0" xfId="0" applyFont="1"/>
    <xf numFmtId="0" fontId="11" fillId="0" borderId="0" xfId="0" applyFont="1" applyBorder="1" applyAlignment="1">
      <alignment vertical="top"/>
    </xf>
    <xf numFmtId="0" fontId="12" fillId="0" borderId="0" xfId="0" applyFont="1"/>
    <xf numFmtId="0" fontId="9" fillId="0" borderId="0" xfId="0" applyFont="1" applyBorder="1" applyAlignment="1">
      <alignment vertical="top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vertical="center" wrapText="1"/>
    </xf>
    <xf numFmtId="0" fontId="14" fillId="0" borderId="0" xfId="0" applyFont="1"/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166" fontId="13" fillId="0" borderId="12" xfId="0" quotePrefix="1" applyNumberFormat="1" applyFont="1" applyBorder="1" applyAlignment="1">
      <alignment horizontal="center" vertical="center" wrapText="1"/>
    </xf>
    <xf numFmtId="166" fontId="13" fillId="0" borderId="13" xfId="0" quotePrefix="1" applyNumberFormat="1" applyFont="1" applyBorder="1" applyAlignment="1">
      <alignment horizontal="center" vertical="center" wrapText="1"/>
    </xf>
    <xf numFmtId="0" fontId="15" fillId="3" borderId="13" xfId="0" quotePrefix="1" applyFont="1" applyFill="1" applyBorder="1" applyAlignment="1">
      <alignment horizontal="center" vertical="center" wrapText="1"/>
    </xf>
    <xf numFmtId="0" fontId="13" fillId="0" borderId="13" xfId="0" quotePrefix="1" applyFont="1" applyBorder="1" applyAlignment="1">
      <alignment horizontal="center" vertical="center"/>
    </xf>
    <xf numFmtId="0" fontId="13" fillId="3" borderId="13" xfId="0" quotePrefix="1" applyFont="1" applyFill="1" applyBorder="1" applyAlignment="1">
      <alignment horizontal="center" vertical="center"/>
    </xf>
    <xf numFmtId="0" fontId="13" fillId="0" borderId="14" xfId="0" quotePrefix="1" applyFont="1" applyBorder="1" applyAlignment="1">
      <alignment horizontal="center" vertical="center"/>
    </xf>
    <xf numFmtId="0" fontId="13" fillId="0" borderId="0" xfId="0" applyFont="1"/>
    <xf numFmtId="0" fontId="17" fillId="0" borderId="2" xfId="0" applyFont="1" applyBorder="1" applyAlignment="1"/>
    <xf numFmtId="0" fontId="18" fillId="0" borderId="16" xfId="0" applyFont="1" applyBorder="1"/>
    <xf numFmtId="0" fontId="17" fillId="0" borderId="16" xfId="0" applyFont="1" applyBorder="1"/>
    <xf numFmtId="0" fontId="18" fillId="0" borderId="3" xfId="0" applyFont="1" applyBorder="1"/>
    <xf numFmtId="0" fontId="19" fillId="0" borderId="2" xfId="0" applyFont="1" applyBorder="1"/>
    <xf numFmtId="0" fontId="19" fillId="0" borderId="16" xfId="0" applyFont="1" applyBorder="1"/>
    <xf numFmtId="0" fontId="18" fillId="0" borderId="0" xfId="0" applyFont="1" applyBorder="1"/>
    <xf numFmtId="0" fontId="18" fillId="0" borderId="5" xfId="0" applyFont="1" applyBorder="1"/>
    <xf numFmtId="0" fontId="19" fillId="0" borderId="4" xfId="0" applyFont="1" applyBorder="1"/>
    <xf numFmtId="0" fontId="19" fillId="0" borderId="0" xfId="0" applyFont="1" applyBorder="1"/>
    <xf numFmtId="0" fontId="20" fillId="0" borderId="17" xfId="0" applyFont="1" applyBorder="1" applyAlignment="1">
      <alignment vertical="top" wrapText="1"/>
    </xf>
    <xf numFmtId="0" fontId="20" fillId="0" borderId="7" xfId="0" applyFont="1" applyBorder="1" applyAlignment="1">
      <alignment vertical="top" wrapText="1"/>
    </xf>
    <xf numFmtId="0" fontId="18" fillId="0" borderId="6" xfId="0" applyFont="1" applyBorder="1" applyAlignment="1">
      <alignment vertical="top"/>
    </xf>
    <xf numFmtId="0" fontId="18" fillId="0" borderId="17" xfId="0" applyFont="1" applyBorder="1" applyAlignment="1">
      <alignment vertical="top"/>
    </xf>
    <xf numFmtId="0" fontId="18" fillId="0" borderId="7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21" fillId="0" borderId="2" xfId="0" applyFont="1" applyBorder="1"/>
    <xf numFmtId="0" fontId="1" fillId="0" borderId="16" xfId="0" applyFont="1" applyBorder="1"/>
    <xf numFmtId="0" fontId="1" fillId="0" borderId="3" xfId="0" applyFont="1" applyBorder="1"/>
    <xf numFmtId="0" fontId="1" fillId="0" borderId="4" xfId="0" applyFont="1" applyBorder="1" applyAlignment="1"/>
    <xf numFmtId="0" fontId="1" fillId="0" borderId="0" xfId="0" applyFont="1" applyBorder="1"/>
    <xf numFmtId="0" fontId="1" fillId="0" borderId="5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17" xfId="0" applyFont="1" applyBorder="1"/>
    <xf numFmtId="0" fontId="1" fillId="0" borderId="7" xfId="0" applyFont="1" applyBorder="1"/>
    <xf numFmtId="4" fontId="9" fillId="0" borderId="0" xfId="0" applyNumberFormat="1" applyFont="1" applyBorder="1" applyAlignment="1">
      <alignment vertical="top" wrapText="1"/>
    </xf>
    <xf numFmtId="0" fontId="16" fillId="0" borderId="8" xfId="0" applyFont="1" applyBorder="1" applyAlignment="1">
      <alignment horizontal="left" vertical="center" wrapText="1"/>
    </xf>
    <xf numFmtId="0" fontId="16" fillId="0" borderId="10" xfId="0" applyFont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0" fontId="14" fillId="0" borderId="0" xfId="0" applyFont="1" applyAlignment="1">
      <alignment vertical="center"/>
    </xf>
    <xf numFmtId="0" fontId="16" fillId="0" borderId="15" xfId="0" applyFont="1" applyBorder="1" applyAlignment="1">
      <alignment horizontal="center" vertical="center" wrapText="1"/>
    </xf>
    <xf numFmtId="4" fontId="14" fillId="4" borderId="11" xfId="0" applyNumberFormat="1" applyFont="1" applyFill="1" applyBorder="1" applyAlignment="1">
      <alignment horizontal="center" vertical="center" wrapText="1"/>
    </xf>
    <xf numFmtId="4" fontId="14" fillId="5" borderId="11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vertical="center"/>
    </xf>
    <xf numFmtId="0" fontId="13" fillId="0" borderId="12" xfId="0" applyFont="1" applyBorder="1" applyAlignment="1">
      <alignment vertical="center" wrapText="1"/>
    </xf>
    <xf numFmtId="0" fontId="13" fillId="0" borderId="14" xfId="0" applyFont="1" applyBorder="1" applyAlignment="1">
      <alignment vertical="center"/>
    </xf>
    <xf numFmtId="4" fontId="14" fillId="4" borderId="11" xfId="0" applyNumberFormat="1" applyFont="1" applyFill="1" applyBorder="1" applyAlignment="1">
      <alignment horizontal="center" vertical="center"/>
    </xf>
    <xf numFmtId="4" fontId="14" fillId="5" borderId="11" xfId="0" applyNumberFormat="1" applyFont="1" applyFill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4" borderId="13" xfId="0" applyNumberFormat="1" applyFont="1" applyFill="1" applyBorder="1" applyAlignment="1">
      <alignment horizontal="center" vertical="center"/>
    </xf>
    <xf numFmtId="0" fontId="29" fillId="0" borderId="0" xfId="0" applyFont="1" applyBorder="1" applyAlignment="1">
      <alignment vertical="top" wrapText="1"/>
    </xf>
    <xf numFmtId="0" fontId="29" fillId="0" borderId="0" xfId="0" applyFont="1" applyAlignment="1">
      <alignment horizontal="center"/>
    </xf>
    <xf numFmtId="165" fontId="8" fillId="0" borderId="0" xfId="2" applyNumberFormat="1" applyFont="1" applyFill="1" applyBorder="1" applyAlignment="1">
      <alignment horizontal="left"/>
    </xf>
    <xf numFmtId="0" fontId="13" fillId="3" borderId="20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6" xfId="0" applyFont="1" applyBorder="1" applyAlignment="1">
      <alignment horizontal="left" vertical="center" wrapText="1"/>
    </xf>
    <xf numFmtId="0" fontId="26" fillId="0" borderId="17" xfId="0" applyFont="1" applyBorder="1" applyAlignment="1">
      <alignment horizontal="left" vertical="center" wrapText="1"/>
    </xf>
    <xf numFmtId="0" fontId="25" fillId="0" borderId="0" xfId="0" applyFont="1" applyBorder="1" applyAlignment="1">
      <alignment horizontal="left" vertical="center" wrapText="1"/>
    </xf>
    <xf numFmtId="0" fontId="25" fillId="0" borderId="17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wrapText="1"/>
    </xf>
    <xf numFmtId="0" fontId="3" fillId="0" borderId="23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5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7" fillId="0" borderId="29" xfId="0" applyFont="1" applyBorder="1" applyAlignment="1">
      <alignment horizontal="center" wrapText="1"/>
    </xf>
    <xf numFmtId="0" fontId="13" fillId="0" borderId="9" xfId="0" applyFont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4" fontId="27" fillId="5" borderId="19" xfId="0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Virgül" xfId="2" builtinId="3"/>
    <cellStyle name="Virgül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34</xdr:row>
      <xdr:rowOff>57150</xdr:rowOff>
    </xdr:from>
    <xdr:to>
      <xdr:col>3</xdr:col>
      <xdr:colOff>428625</xdr:colOff>
      <xdr:row>34</xdr:row>
      <xdr:rowOff>209550</xdr:rowOff>
    </xdr:to>
    <xdr:sp macro="" textlink="">
      <xdr:nvSpPr>
        <xdr:cNvPr id="2" name="1 Dikdörtgen"/>
        <xdr:cNvSpPr/>
      </xdr:nvSpPr>
      <xdr:spPr>
        <a:xfrm>
          <a:off x="4876800" y="10020300"/>
          <a:ext cx="1714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3</xdr:col>
      <xdr:colOff>266700</xdr:colOff>
      <xdr:row>36</xdr:row>
      <xdr:rowOff>0</xdr:rowOff>
    </xdr:from>
    <xdr:to>
      <xdr:col>3</xdr:col>
      <xdr:colOff>438150</xdr:colOff>
      <xdr:row>36</xdr:row>
      <xdr:rowOff>152400</xdr:rowOff>
    </xdr:to>
    <xdr:sp macro="" textlink="">
      <xdr:nvSpPr>
        <xdr:cNvPr id="3" name="2 Dikdörtgen"/>
        <xdr:cNvSpPr/>
      </xdr:nvSpPr>
      <xdr:spPr>
        <a:xfrm>
          <a:off x="4886325" y="10334625"/>
          <a:ext cx="1714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3</xdr:col>
      <xdr:colOff>266700</xdr:colOff>
      <xdr:row>38</xdr:row>
      <xdr:rowOff>19050</xdr:rowOff>
    </xdr:from>
    <xdr:to>
      <xdr:col>3</xdr:col>
      <xdr:colOff>438150</xdr:colOff>
      <xdr:row>38</xdr:row>
      <xdr:rowOff>171450</xdr:rowOff>
    </xdr:to>
    <xdr:sp macro="" textlink="">
      <xdr:nvSpPr>
        <xdr:cNvPr id="4" name="3 Dikdörtgen"/>
        <xdr:cNvSpPr/>
      </xdr:nvSpPr>
      <xdr:spPr>
        <a:xfrm>
          <a:off x="4886325" y="10648950"/>
          <a:ext cx="1714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Z40"/>
  <sheetViews>
    <sheetView tabSelected="1" topLeftCell="C7" zoomScale="80" zoomScaleNormal="80" zoomScaleSheetLayoutView="100" workbookViewId="0">
      <selection activeCell="P19" sqref="P19"/>
    </sheetView>
  </sheetViews>
  <sheetFormatPr defaultColWidth="30.44140625" defaultRowHeight="15" x14ac:dyDescent="0.25"/>
  <cols>
    <col min="1" max="1" width="30.44140625" style="6" customWidth="1"/>
    <col min="2" max="2" width="18.6640625" style="6" bestFit="1" customWidth="1"/>
    <col min="3" max="3" width="20.109375" style="6" bestFit="1" customWidth="1"/>
    <col min="4" max="4" width="15.88671875" style="6" customWidth="1"/>
    <col min="5" max="5" width="17.109375" style="6" customWidth="1"/>
    <col min="6" max="6" width="15.5546875" style="6" customWidth="1"/>
    <col min="7" max="7" width="15" style="6" customWidth="1"/>
    <col min="8" max="8" width="16.44140625" style="6" customWidth="1"/>
    <col min="9" max="9" width="15.109375" style="6" customWidth="1"/>
    <col min="10" max="10" width="14.88671875" style="6" customWidth="1"/>
    <col min="11" max="11" width="16.88671875" style="6" customWidth="1"/>
    <col min="12" max="12" width="16.109375" style="6" customWidth="1"/>
    <col min="13" max="13" width="14.88671875" style="6" customWidth="1"/>
    <col min="14" max="16" width="14.6640625" style="6" customWidth="1"/>
    <col min="17" max="17" width="16.33203125" style="6" customWidth="1"/>
    <col min="18" max="19" width="14.6640625" style="6" customWidth="1"/>
    <col min="20" max="20" width="25.5546875" style="6" customWidth="1"/>
    <col min="21" max="22" width="9.109375" style="6" customWidth="1"/>
    <col min="23" max="23" width="17.88671875" style="6" customWidth="1"/>
    <col min="24" max="255" width="9.109375" style="6" customWidth="1"/>
    <col min="256" max="16384" width="30.44140625" style="6"/>
  </cols>
  <sheetData>
    <row r="1" spans="1:26" s="1" customFormat="1" x14ac:dyDescent="0.3"/>
    <row r="2" spans="1:26" ht="20.399999999999999" x14ac:dyDescent="0.35">
      <c r="A2" s="2"/>
      <c r="B2" s="96" t="s">
        <v>0</v>
      </c>
      <c r="C2" s="97"/>
      <c r="D2" s="3" t="s">
        <v>1</v>
      </c>
      <c r="E2" s="4"/>
      <c r="F2" s="4"/>
      <c r="G2" s="4"/>
      <c r="H2" s="4"/>
      <c r="I2" s="4"/>
      <c r="J2" s="4"/>
      <c r="K2" s="4"/>
      <c r="L2" s="4"/>
      <c r="M2" s="4"/>
      <c r="N2" s="4"/>
      <c r="O2" s="5" t="s">
        <v>50</v>
      </c>
    </row>
    <row r="3" spans="1:26" ht="15.6" x14ac:dyDescent="0.3">
      <c r="A3" s="2"/>
      <c r="B3" s="81"/>
      <c r="C3" s="82"/>
      <c r="D3"/>
      <c r="E3"/>
      <c r="F3"/>
      <c r="G3"/>
      <c r="H3"/>
      <c r="I3"/>
      <c r="J3"/>
      <c r="K3"/>
      <c r="L3" s="8"/>
      <c r="M3" s="8"/>
      <c r="N3" s="8"/>
    </row>
    <row r="4" spans="1:26" ht="15.75" customHeight="1" x14ac:dyDescent="0.3">
      <c r="A4" s="2"/>
      <c r="B4" s="98" t="s">
        <v>49</v>
      </c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100"/>
    </row>
    <row r="5" spans="1:26" s="1" customFormat="1" ht="15.75" customHeight="1" x14ac:dyDescent="0.3">
      <c r="A5" s="2"/>
      <c r="B5" s="101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3"/>
    </row>
    <row r="6" spans="1:26" ht="15.6" x14ac:dyDescent="0.3">
      <c r="A6" s="2"/>
      <c r="B6" s="9"/>
      <c r="C6" s="9"/>
      <c r="D6" s="9"/>
      <c r="E6" s="9"/>
      <c r="F6" s="9"/>
      <c r="G6" s="9"/>
      <c r="H6" s="2"/>
      <c r="I6" s="2"/>
      <c r="J6" s="2"/>
      <c r="K6" s="2"/>
      <c r="P6" s="10" t="s">
        <v>63</v>
      </c>
      <c r="Q6" s="83"/>
      <c r="R6" s="83"/>
      <c r="S6" s="10"/>
    </row>
    <row r="7" spans="1:26" ht="15.6" x14ac:dyDescent="0.3">
      <c r="A7" s="2"/>
      <c r="B7" s="9"/>
      <c r="C7" s="9"/>
      <c r="D7" s="9"/>
      <c r="E7" s="9"/>
      <c r="F7" s="9"/>
      <c r="G7" s="9"/>
      <c r="H7" s="2"/>
      <c r="I7" s="2"/>
      <c r="J7" s="2"/>
      <c r="K7" s="2"/>
    </row>
    <row r="8" spans="1:26" s="11" customFormat="1" ht="13.2" x14ac:dyDescent="0.25">
      <c r="B8" s="12" t="s">
        <v>62</v>
      </c>
      <c r="C8" s="13"/>
      <c r="D8" s="14"/>
      <c r="E8" s="12" t="s">
        <v>2</v>
      </c>
      <c r="F8" s="13"/>
      <c r="G8" s="15"/>
      <c r="H8" s="12" t="s">
        <v>3</v>
      </c>
      <c r="I8" s="13"/>
      <c r="K8" s="12" t="s">
        <v>4</v>
      </c>
      <c r="L8" s="13"/>
      <c r="Y8" s="16"/>
      <c r="Z8" s="16"/>
    </row>
    <row r="9" spans="1:26" s="11" customFormat="1" ht="13.2" x14ac:dyDescent="0.25">
      <c r="B9" s="17"/>
      <c r="C9" s="18"/>
      <c r="D9" s="15"/>
      <c r="E9" s="17"/>
      <c r="F9" s="18"/>
      <c r="H9" s="17"/>
      <c r="I9" s="18"/>
      <c r="K9" s="17"/>
      <c r="L9" s="18"/>
    </row>
    <row r="10" spans="1:26" s="11" customFormat="1" ht="13.2" x14ac:dyDescent="0.25">
      <c r="B10" s="17" t="s">
        <v>51</v>
      </c>
      <c r="C10" s="18"/>
      <c r="D10" s="15"/>
      <c r="E10" s="17" t="s">
        <v>52</v>
      </c>
      <c r="F10" s="18"/>
      <c r="H10" s="17" t="s">
        <v>53</v>
      </c>
      <c r="I10" s="18"/>
      <c r="K10" s="17" t="s">
        <v>61</v>
      </c>
      <c r="L10" s="18"/>
    </row>
    <row r="11" spans="1:26" s="11" customFormat="1" ht="13.2" x14ac:dyDescent="0.25">
      <c r="B11" s="17" t="str">
        <f>"Date:     "&amp; TEXT( HazirlamaTarihi, "gg.aa.yyyy")</f>
        <v>Date:     00.01.1900</v>
      </c>
      <c r="C11" s="19"/>
      <c r="D11" s="20"/>
      <c r="E11" s="17" t="str">
        <f>B11</f>
        <v>Date:     00.01.1900</v>
      </c>
      <c r="F11" s="19"/>
      <c r="H11" s="17" t="str">
        <f>B11</f>
        <v>Date:     00.01.1900</v>
      </c>
      <c r="I11" s="19"/>
      <c r="K11" s="17" t="str">
        <f>B11</f>
        <v>Date:     00.01.1900</v>
      </c>
      <c r="L11" s="19"/>
    </row>
    <row r="12" spans="1:26" s="11" customFormat="1" ht="13.2" x14ac:dyDescent="0.25">
      <c r="B12" s="21" t="s">
        <v>5</v>
      </c>
      <c r="C12" s="22"/>
      <c r="D12" s="15"/>
      <c r="E12" s="21" t="s">
        <v>5</v>
      </c>
      <c r="F12" s="22"/>
      <c r="H12" s="21" t="s">
        <v>5</v>
      </c>
      <c r="I12" s="22"/>
      <c r="K12" s="21" t="s">
        <v>5</v>
      </c>
      <c r="L12" s="22"/>
    </row>
    <row r="13" spans="1:26" s="11" customFormat="1" ht="13.2" x14ac:dyDescent="0.25">
      <c r="A13" s="15"/>
      <c r="B13" s="15"/>
      <c r="C13" s="15"/>
      <c r="D13" s="15"/>
      <c r="E13" s="15"/>
      <c r="F13" s="15"/>
      <c r="G13" s="15"/>
      <c r="H13" s="23"/>
      <c r="I13" s="23"/>
      <c r="J13" s="23"/>
      <c r="K13" s="23"/>
      <c r="N13" s="66"/>
    </row>
    <row r="14" spans="1:26" s="23" customFormat="1" ht="14.4" x14ac:dyDescent="0.25">
      <c r="A14" s="24" t="s">
        <v>6</v>
      </c>
    </row>
    <row r="15" spans="1:26" s="26" customFormat="1" ht="13.8" thickBot="1" x14ac:dyDescent="0.3">
      <c r="A15" s="25" t="s">
        <v>7</v>
      </c>
    </row>
    <row r="16" spans="1:26" s="70" customFormat="1" ht="60.75" customHeight="1" x14ac:dyDescent="0.3">
      <c r="A16" s="27" t="s">
        <v>8</v>
      </c>
      <c r="B16" s="104" t="s">
        <v>9</v>
      </c>
      <c r="C16" s="104"/>
      <c r="D16" s="104"/>
      <c r="E16" s="104" t="s">
        <v>10</v>
      </c>
      <c r="F16" s="104"/>
      <c r="G16" s="104"/>
      <c r="H16" s="104" t="s">
        <v>11</v>
      </c>
      <c r="I16" s="104"/>
      <c r="J16" s="104"/>
      <c r="K16" s="104" t="s">
        <v>12</v>
      </c>
      <c r="L16" s="104"/>
      <c r="M16" s="104"/>
      <c r="N16" s="105" t="s">
        <v>13</v>
      </c>
      <c r="O16" s="88" t="s">
        <v>14</v>
      </c>
      <c r="P16" s="28" t="s">
        <v>15</v>
      </c>
      <c r="Q16" s="88" t="s">
        <v>45</v>
      </c>
      <c r="R16" s="84" t="s">
        <v>16</v>
      </c>
      <c r="S16" s="86" t="s">
        <v>17</v>
      </c>
    </row>
    <row r="17" spans="1:19" s="29" customFormat="1" ht="60" x14ac:dyDescent="0.2">
      <c r="A17" s="30"/>
      <c r="B17" s="31" t="s">
        <v>18</v>
      </c>
      <c r="C17" s="31" t="s">
        <v>19</v>
      </c>
      <c r="D17" s="31" t="s">
        <v>20</v>
      </c>
      <c r="E17" s="31" t="s">
        <v>18</v>
      </c>
      <c r="F17" s="31" t="s">
        <v>19</v>
      </c>
      <c r="G17" s="31" t="s">
        <v>20</v>
      </c>
      <c r="H17" s="31" t="s">
        <v>18</v>
      </c>
      <c r="I17" s="31" t="s">
        <v>19</v>
      </c>
      <c r="J17" s="31" t="s">
        <v>20</v>
      </c>
      <c r="K17" s="31" t="s">
        <v>18</v>
      </c>
      <c r="L17" s="31" t="s">
        <v>19</v>
      </c>
      <c r="M17" s="31" t="s">
        <v>20</v>
      </c>
      <c r="N17" s="106"/>
      <c r="O17" s="89"/>
      <c r="P17" s="32" t="s">
        <v>21</v>
      </c>
      <c r="Q17" s="89"/>
      <c r="R17" s="85"/>
      <c r="S17" s="87"/>
    </row>
    <row r="18" spans="1:19" s="29" customFormat="1" ht="24.6" thickBot="1" x14ac:dyDescent="0.25">
      <c r="A18" s="33" t="s">
        <v>22</v>
      </c>
      <c r="B18" s="34" t="s">
        <v>23</v>
      </c>
      <c r="C18" s="34" t="s">
        <v>24</v>
      </c>
      <c r="D18" s="34" t="s">
        <v>25</v>
      </c>
      <c r="E18" s="34" t="s">
        <v>26</v>
      </c>
      <c r="F18" s="34" t="s">
        <v>27</v>
      </c>
      <c r="G18" s="34" t="s">
        <v>28</v>
      </c>
      <c r="H18" s="34" t="s">
        <v>29</v>
      </c>
      <c r="I18" s="34" t="s">
        <v>30</v>
      </c>
      <c r="J18" s="34" t="s">
        <v>31</v>
      </c>
      <c r="K18" s="34" t="s">
        <v>32</v>
      </c>
      <c r="L18" s="34" t="s">
        <v>33</v>
      </c>
      <c r="M18" s="34" t="s">
        <v>34</v>
      </c>
      <c r="N18" s="35" t="s">
        <v>35</v>
      </c>
      <c r="O18" s="34" t="s">
        <v>36</v>
      </c>
      <c r="P18" s="36" t="s">
        <v>37</v>
      </c>
      <c r="Q18" s="36">
        <v>17</v>
      </c>
      <c r="R18" s="37" t="s">
        <v>46</v>
      </c>
      <c r="S18" s="38" t="s">
        <v>47</v>
      </c>
    </row>
    <row r="19" spans="1:19" s="29" customFormat="1" ht="30" customHeight="1" x14ac:dyDescent="0.2">
      <c r="A19" s="67" t="s">
        <v>60</v>
      </c>
      <c r="B19" s="72"/>
      <c r="C19" s="73"/>
      <c r="D19" s="73"/>
      <c r="E19" s="72"/>
      <c r="F19" s="73"/>
      <c r="G19" s="73"/>
      <c r="H19" s="72"/>
      <c r="I19" s="73"/>
      <c r="J19" s="73"/>
      <c r="K19" s="72"/>
      <c r="L19" s="73"/>
      <c r="M19" s="73"/>
      <c r="N19" s="72">
        <f>B19+E19+H19+K19 - (C19+F19+I19+L19)</f>
        <v>0</v>
      </c>
      <c r="O19" s="72">
        <f>D19+G19+J19+M19</f>
        <v>0</v>
      </c>
      <c r="P19" s="72"/>
      <c r="Q19" s="107"/>
      <c r="R19" s="72">
        <f>O19-(P19+Q19)</f>
        <v>0</v>
      </c>
      <c r="S19" s="71">
        <v>1</v>
      </c>
    </row>
    <row r="20" spans="1:19" s="29" customFormat="1" ht="30" customHeight="1" x14ac:dyDescent="0.2">
      <c r="A20" s="68" t="s">
        <v>59</v>
      </c>
      <c r="B20" s="77"/>
      <c r="C20" s="73"/>
      <c r="D20" s="73"/>
      <c r="E20" s="77"/>
      <c r="F20" s="73"/>
      <c r="G20" s="73"/>
      <c r="H20" s="77"/>
      <c r="I20" s="73"/>
      <c r="J20" s="73"/>
      <c r="K20" s="77"/>
      <c r="L20" s="73"/>
      <c r="M20" s="73"/>
      <c r="N20" s="72">
        <f t="shared" ref="N20:N25" si="0">B20+E20+H20+K20 - (C20+F20+I20+L20)</f>
        <v>0</v>
      </c>
      <c r="O20" s="72">
        <f t="shared" ref="O20:O25" si="1">D20+G20+J20+M20</f>
        <v>0</v>
      </c>
      <c r="P20" s="72"/>
      <c r="Q20" s="78"/>
      <c r="R20" s="72">
        <f t="shared" ref="R20:R25" si="2">O20-(P20+Q20)</f>
        <v>0</v>
      </c>
      <c r="S20" s="74"/>
    </row>
    <row r="21" spans="1:19" s="29" customFormat="1" ht="42" customHeight="1" x14ac:dyDescent="0.2">
      <c r="A21" s="68" t="s">
        <v>58</v>
      </c>
      <c r="B21" s="72"/>
      <c r="C21" s="73"/>
      <c r="D21" s="73"/>
      <c r="E21" s="72"/>
      <c r="F21" s="73"/>
      <c r="G21" s="73"/>
      <c r="H21" s="72"/>
      <c r="I21" s="73"/>
      <c r="J21" s="73"/>
      <c r="K21" s="72"/>
      <c r="L21" s="73"/>
      <c r="M21" s="73"/>
      <c r="N21" s="72">
        <f t="shared" si="0"/>
        <v>0</v>
      </c>
      <c r="O21" s="72">
        <f t="shared" si="1"/>
        <v>0</v>
      </c>
      <c r="P21" s="72"/>
      <c r="Q21" s="107"/>
      <c r="R21" s="72">
        <f t="shared" si="2"/>
        <v>0</v>
      </c>
      <c r="S21" s="74"/>
    </row>
    <row r="22" spans="1:19" s="29" customFormat="1" ht="30" customHeight="1" x14ac:dyDescent="0.2">
      <c r="A22" s="68" t="s">
        <v>57</v>
      </c>
      <c r="B22" s="77"/>
      <c r="C22" s="73"/>
      <c r="D22" s="73"/>
      <c r="E22" s="77"/>
      <c r="F22" s="73"/>
      <c r="G22" s="73"/>
      <c r="H22" s="77"/>
      <c r="I22" s="73"/>
      <c r="J22" s="73"/>
      <c r="K22" s="77"/>
      <c r="L22" s="73"/>
      <c r="M22" s="73"/>
      <c r="N22" s="72">
        <f t="shared" si="0"/>
        <v>0</v>
      </c>
      <c r="O22" s="72">
        <f t="shared" si="1"/>
        <v>0</v>
      </c>
      <c r="P22" s="72"/>
      <c r="Q22" s="78"/>
      <c r="R22" s="72">
        <f t="shared" si="2"/>
        <v>0</v>
      </c>
      <c r="S22" s="74"/>
    </row>
    <row r="23" spans="1:19" s="29" customFormat="1" ht="42" customHeight="1" x14ac:dyDescent="0.2">
      <c r="A23" s="68" t="s">
        <v>56</v>
      </c>
      <c r="B23" s="77"/>
      <c r="C23" s="73"/>
      <c r="D23" s="73"/>
      <c r="E23" s="77"/>
      <c r="F23" s="73"/>
      <c r="G23" s="73"/>
      <c r="H23" s="77"/>
      <c r="I23" s="73"/>
      <c r="J23" s="73"/>
      <c r="K23" s="77"/>
      <c r="L23" s="73"/>
      <c r="M23" s="73"/>
      <c r="N23" s="72">
        <f t="shared" si="0"/>
        <v>0</v>
      </c>
      <c r="O23" s="72">
        <f t="shared" si="1"/>
        <v>0</v>
      </c>
      <c r="P23" s="72"/>
      <c r="Q23" s="78"/>
      <c r="R23" s="72">
        <f t="shared" si="2"/>
        <v>0</v>
      </c>
      <c r="S23" s="74"/>
    </row>
    <row r="24" spans="1:19" s="29" customFormat="1" ht="30" customHeight="1" x14ac:dyDescent="0.2">
      <c r="A24" s="68" t="s">
        <v>55</v>
      </c>
      <c r="B24" s="72"/>
      <c r="C24" s="73"/>
      <c r="D24" s="73"/>
      <c r="E24" s="72"/>
      <c r="F24" s="73"/>
      <c r="G24" s="73"/>
      <c r="H24" s="72"/>
      <c r="I24" s="73"/>
      <c r="J24" s="73"/>
      <c r="K24" s="72"/>
      <c r="L24" s="73"/>
      <c r="M24" s="73"/>
      <c r="N24" s="72">
        <f t="shared" si="0"/>
        <v>0</v>
      </c>
      <c r="O24" s="72">
        <f t="shared" si="1"/>
        <v>0</v>
      </c>
      <c r="P24" s="72"/>
      <c r="Q24" s="107"/>
      <c r="R24" s="72">
        <f t="shared" si="2"/>
        <v>0</v>
      </c>
      <c r="S24" s="71">
        <v>2</v>
      </c>
    </row>
    <row r="25" spans="1:19" s="29" customFormat="1" ht="30" customHeight="1" x14ac:dyDescent="0.2">
      <c r="A25" s="69" t="s">
        <v>54</v>
      </c>
      <c r="B25" s="72"/>
      <c r="C25" s="73"/>
      <c r="D25" s="73"/>
      <c r="E25" s="72"/>
      <c r="F25" s="73"/>
      <c r="G25" s="73"/>
      <c r="H25" s="72"/>
      <c r="I25" s="73"/>
      <c r="J25" s="73"/>
      <c r="K25" s="72"/>
      <c r="L25" s="73"/>
      <c r="M25" s="73"/>
      <c r="N25" s="72">
        <f t="shared" si="0"/>
        <v>0</v>
      </c>
      <c r="O25" s="72">
        <f t="shared" si="1"/>
        <v>0</v>
      </c>
      <c r="P25" s="72"/>
      <c r="Q25" s="107"/>
      <c r="R25" s="72">
        <f t="shared" si="2"/>
        <v>0</v>
      </c>
      <c r="S25" s="74"/>
    </row>
    <row r="26" spans="1:19" s="39" customFormat="1" ht="30" customHeight="1" thickBot="1" x14ac:dyDescent="0.3">
      <c r="A26" s="75" t="s">
        <v>38</v>
      </c>
      <c r="B26" s="79">
        <f>B19+B21+B24+B20+B22+B25</f>
        <v>0</v>
      </c>
      <c r="C26" s="79">
        <f t="shared" ref="C26:R26" si="3">C19+C21+C24+C20+C22+C25</f>
        <v>0</v>
      </c>
      <c r="D26" s="79">
        <f t="shared" si="3"/>
        <v>0</v>
      </c>
      <c r="E26" s="79">
        <f t="shared" si="3"/>
        <v>0</v>
      </c>
      <c r="F26" s="79">
        <f t="shared" si="3"/>
        <v>0</v>
      </c>
      <c r="G26" s="79">
        <f t="shared" si="3"/>
        <v>0</v>
      </c>
      <c r="H26" s="79">
        <f t="shared" si="3"/>
        <v>0</v>
      </c>
      <c r="I26" s="79">
        <f t="shared" si="3"/>
        <v>0</v>
      </c>
      <c r="J26" s="79">
        <f t="shared" si="3"/>
        <v>0</v>
      </c>
      <c r="K26" s="79">
        <f t="shared" si="3"/>
        <v>0</v>
      </c>
      <c r="L26" s="79">
        <f t="shared" si="3"/>
        <v>0</v>
      </c>
      <c r="M26" s="79">
        <f t="shared" si="3"/>
        <v>0</v>
      </c>
      <c r="N26" s="80">
        <f t="shared" si="3"/>
        <v>0</v>
      </c>
      <c r="O26" s="80">
        <f t="shared" si="3"/>
        <v>0</v>
      </c>
      <c r="P26" s="79">
        <f t="shared" si="3"/>
        <v>0</v>
      </c>
      <c r="Q26" s="79">
        <f t="shared" si="3"/>
        <v>0</v>
      </c>
      <c r="R26" s="80">
        <f t="shared" si="3"/>
        <v>0</v>
      </c>
      <c r="S26" s="76"/>
    </row>
    <row r="27" spans="1:19" s="23" customFormat="1" ht="13.2" x14ac:dyDescent="0.25"/>
    <row r="28" spans="1:19" s="23" customFormat="1" ht="13.2" x14ac:dyDescent="0.25"/>
    <row r="29" spans="1:19" s="46" customFormat="1" ht="13.8" x14ac:dyDescent="0.25">
      <c r="A29" s="40" t="s">
        <v>39</v>
      </c>
      <c r="B29" s="41"/>
      <c r="C29" s="41"/>
      <c r="D29" s="42"/>
      <c r="E29" s="42"/>
      <c r="F29" s="42"/>
      <c r="G29" s="41"/>
      <c r="H29" s="41"/>
      <c r="I29" s="43"/>
      <c r="J29" s="44" t="s">
        <v>40</v>
      </c>
      <c r="K29" s="45"/>
      <c r="L29" s="45"/>
      <c r="M29" s="41"/>
      <c r="N29" s="41"/>
      <c r="O29" s="41"/>
      <c r="P29" s="41"/>
      <c r="Q29" s="41"/>
      <c r="R29" s="41"/>
      <c r="S29" s="43"/>
    </row>
    <row r="30" spans="1:19" s="46" customFormat="1" ht="16.5" customHeight="1" x14ac:dyDescent="0.25">
      <c r="A30" s="90"/>
      <c r="B30" s="91"/>
      <c r="C30" s="91"/>
      <c r="D30" s="94"/>
      <c r="E30" s="94"/>
      <c r="F30" s="94"/>
      <c r="G30" s="94"/>
      <c r="I30" s="47"/>
      <c r="J30" s="48"/>
      <c r="K30" s="49"/>
      <c r="L30" s="49"/>
      <c r="S30" s="47"/>
    </row>
    <row r="31" spans="1:19" s="55" customFormat="1" ht="31.5" customHeight="1" x14ac:dyDescent="0.3">
      <c r="A31" s="92"/>
      <c r="B31" s="93"/>
      <c r="C31" s="93"/>
      <c r="D31" s="95"/>
      <c r="E31" s="95"/>
      <c r="F31" s="95"/>
      <c r="G31" s="95"/>
      <c r="H31" s="50"/>
      <c r="I31" s="51"/>
      <c r="J31" s="52"/>
      <c r="K31" s="53"/>
      <c r="L31" s="53"/>
      <c r="M31" s="53"/>
      <c r="N31" s="53"/>
      <c r="O31" s="53"/>
      <c r="P31" s="53"/>
      <c r="Q31" s="53"/>
      <c r="R31" s="53"/>
      <c r="S31" s="54"/>
    </row>
    <row r="32" spans="1:19" s="23" customFormat="1" ht="13.2" x14ac:dyDescent="0.25"/>
    <row r="33" spans="1:4" s="7" customFormat="1" ht="14.4" x14ac:dyDescent="0.3"/>
    <row r="34" spans="1:4" s="23" customFormat="1" ht="15.6" x14ac:dyDescent="0.3">
      <c r="A34" s="56" t="s">
        <v>41</v>
      </c>
      <c r="B34" s="57"/>
      <c r="C34" s="57"/>
      <c r="D34" s="58" t="s">
        <v>48</v>
      </c>
    </row>
    <row r="35" spans="1:4" s="23" customFormat="1" ht="20.25" customHeight="1" x14ac:dyDescent="0.25">
      <c r="A35" s="59" t="s">
        <v>42</v>
      </c>
      <c r="B35" s="60"/>
      <c r="C35" s="60"/>
      <c r="D35" s="61"/>
    </row>
    <row r="36" spans="1:4" s="23" customFormat="1" ht="9" customHeight="1" x14ac:dyDescent="0.25">
      <c r="A36" s="62"/>
      <c r="B36" s="60"/>
      <c r="C36" s="60"/>
      <c r="D36" s="61"/>
    </row>
    <row r="37" spans="1:4" s="23" customFormat="1" x14ac:dyDescent="0.25">
      <c r="A37" s="62" t="s">
        <v>43</v>
      </c>
      <c r="B37" s="60"/>
      <c r="C37" s="60"/>
      <c r="D37" s="61"/>
    </row>
    <row r="38" spans="1:4" s="23" customFormat="1" ht="8.25" customHeight="1" x14ac:dyDescent="0.25">
      <c r="A38" s="62"/>
      <c r="B38" s="60"/>
      <c r="C38" s="60"/>
      <c r="D38" s="61"/>
    </row>
    <row r="39" spans="1:4" x14ac:dyDescent="0.25">
      <c r="A39" s="62" t="s">
        <v>44</v>
      </c>
      <c r="B39" s="60"/>
      <c r="C39" s="60"/>
      <c r="D39" s="61"/>
    </row>
    <row r="40" spans="1:4" ht="5.25" customHeight="1" x14ac:dyDescent="0.25">
      <c r="A40" s="63"/>
      <c r="B40" s="64"/>
      <c r="C40" s="64"/>
      <c r="D40" s="65"/>
    </row>
  </sheetData>
  <mergeCells count="14">
    <mergeCell ref="B2:C2"/>
    <mergeCell ref="B4:O5"/>
    <mergeCell ref="B16:D16"/>
    <mergeCell ref="E16:G16"/>
    <mergeCell ref="H16:J16"/>
    <mergeCell ref="K16:M16"/>
    <mergeCell ref="N16:N17"/>
    <mergeCell ref="O16:O17"/>
    <mergeCell ref="Q6:R6"/>
    <mergeCell ref="R16:R17"/>
    <mergeCell ref="S16:S17"/>
    <mergeCell ref="Q16:Q17"/>
    <mergeCell ref="A30:C31"/>
    <mergeCell ref="D30:G31"/>
  </mergeCells>
  <pageMargins left="0.27559055118110237" right="0.15748031496062992" top="0.74803149606299213" bottom="0.74803149606299213" header="0.31496062992125984" footer="0.31496062992125984"/>
  <pageSetup paperSize="9" scale="45" fitToHeight="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42</vt:i4>
      </vt:variant>
    </vt:vector>
  </HeadingPairs>
  <TitlesOfParts>
    <vt:vector size="43" baseType="lpstr">
      <vt:lpstr>6404</vt:lpstr>
      <vt:lpstr>DO_1_101</vt:lpstr>
      <vt:lpstr>DO_1_102</vt:lpstr>
      <vt:lpstr>DO_1_103</vt:lpstr>
      <vt:lpstr>DO_1_201</vt:lpstr>
      <vt:lpstr>DO_1_202</vt:lpstr>
      <vt:lpstr>DO_1_302</vt:lpstr>
      <vt:lpstr>DO_1_501</vt:lpstr>
      <vt:lpstr>DO_2_101</vt:lpstr>
      <vt:lpstr>DO_2_102</vt:lpstr>
      <vt:lpstr>DO_2_103</vt:lpstr>
      <vt:lpstr>DO_2_201</vt:lpstr>
      <vt:lpstr>DO_2_202</vt:lpstr>
      <vt:lpstr>DO_2_302</vt:lpstr>
      <vt:lpstr>DO_2_501</vt:lpstr>
      <vt:lpstr>DO_3_101</vt:lpstr>
      <vt:lpstr>DO_3_102</vt:lpstr>
      <vt:lpstr>DO_3_103</vt:lpstr>
      <vt:lpstr>DO_3_201</vt:lpstr>
      <vt:lpstr>DO_3_202</vt:lpstr>
      <vt:lpstr>DO_3_302</vt:lpstr>
      <vt:lpstr>DO_3_501</vt:lpstr>
      <vt:lpstr>DO_4_101</vt:lpstr>
      <vt:lpstr>DO_4_102</vt:lpstr>
      <vt:lpstr>DO_4_103</vt:lpstr>
      <vt:lpstr>DO_4_201</vt:lpstr>
      <vt:lpstr>DO_4_202</vt:lpstr>
      <vt:lpstr>DO_4_302</vt:lpstr>
      <vt:lpstr>DO_4_501</vt:lpstr>
      <vt:lpstr>DO_5_101</vt:lpstr>
      <vt:lpstr>DO_5_102</vt:lpstr>
      <vt:lpstr>DO_5_103</vt:lpstr>
      <vt:lpstr>DO_5_201</vt:lpstr>
      <vt:lpstr>DO_5_202</vt:lpstr>
      <vt:lpstr>DO_5_302</vt:lpstr>
      <vt:lpstr>DO_5_501</vt:lpstr>
      <vt:lpstr>Donem</vt:lpstr>
      <vt:lpstr>gozdenGeciren</vt:lpstr>
      <vt:lpstr>HazirlamaTarihi</vt:lpstr>
      <vt:lpstr>hazirlayan</vt:lpstr>
      <vt:lpstr>KayitSayisi1</vt:lpstr>
      <vt:lpstr>kontrolEden</vt:lpstr>
      <vt:lpstr>onaylayan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2006-09-26T09:04:32Z</dcterms:created>
  <dcterms:modified xsi:type="dcterms:W3CDTF">2020-11-29T18:07:07Z</dcterms:modified>
</cp:coreProperties>
</file>