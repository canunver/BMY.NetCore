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ATM\"/>
    </mc:Choice>
  </mc:AlternateContent>
  <bookViews>
    <workbookView xWindow="0" yWindow="0" windowWidth="24000" windowHeight="9180" tabRatio="389"/>
  </bookViews>
  <sheets>
    <sheet name="6405" sheetId="1" r:id="rId1"/>
  </sheets>
  <definedNames>
    <definedName name="DO_101_AB">'6405'!$B$44</definedName>
    <definedName name="DO_101_U">'6405'!$C$44</definedName>
    <definedName name="DO_102_AB">'6405'!$B$45</definedName>
    <definedName name="DO_102_U">'6405'!$C$45</definedName>
    <definedName name="DO_103_AB">'6405'!$B$46</definedName>
    <definedName name="DO_103_U">'6405'!$C$46</definedName>
    <definedName name="DO_201_AB">'6405'!$B$47</definedName>
    <definedName name="DO_201_U">'6405'!$C$47</definedName>
    <definedName name="DO_202_AB">'6405'!$B$48</definedName>
    <definedName name="DO_202_U">'6405'!$C$48</definedName>
    <definedName name="DO_302_AB">'6405'!$B$49</definedName>
    <definedName name="DO_302_U">'6405'!$C$49</definedName>
    <definedName name="DO_501_AB">'6405'!$B$50</definedName>
    <definedName name="DO_501_U">'6405'!$C$50</definedName>
    <definedName name="Donem">'6405'!$I$11</definedName>
    <definedName name="Donem2">'6405'!$P$64</definedName>
    <definedName name="gozdenGeciren">'6405'!$F$7</definedName>
    <definedName name="HazirlamaTarihi">'6405'!$A$5</definedName>
    <definedName name="hazirlayan">'6405'!$A$7</definedName>
    <definedName name="KALAN_101_AB">'6405'!$B$18</definedName>
    <definedName name="KALAN_101_U">'6405'!$C$18</definedName>
    <definedName name="KALAN_102_AB">'6405'!$B$19</definedName>
    <definedName name="KALAN_102_U">'6405'!$C$19</definedName>
    <definedName name="KALAN_103_AB">'6405'!$B$20</definedName>
    <definedName name="KALAN_103_U">'6405'!$C$20</definedName>
    <definedName name="KALAN_201_AB">'6405'!$B$21</definedName>
    <definedName name="KALAN_201_U">'6405'!$C$21</definedName>
    <definedName name="KALAN_202_AB">'6405'!$B$22</definedName>
    <definedName name="KALAN_202_U">'6405'!$C$22</definedName>
    <definedName name="KALAN_302_AB">'6405'!$B$23</definedName>
    <definedName name="KALAN_302_U">'6405'!$C$23</definedName>
    <definedName name="KALAN_501_AB">'6405'!$B$24</definedName>
    <definedName name="KALAN_501_U">'6405'!$C$24</definedName>
    <definedName name="KayitSayisi1">'6405'!$B$5</definedName>
    <definedName name="KayitSayisi2">'6405'!$C$5</definedName>
    <definedName name="KayitSayisi3">'6405'!$D$5</definedName>
    <definedName name="kontrolEden">'6405'!$C$7</definedName>
    <definedName name="OB_101_AB">'6405'!$B$72</definedName>
    <definedName name="OB_101_U">'6405'!$C$72</definedName>
    <definedName name="OB_102_AB">'6405'!$B$73</definedName>
    <definedName name="OB_102_U">'6405'!$C$73</definedName>
    <definedName name="OB_103_AB">'6405'!$B$74</definedName>
    <definedName name="OB_103_U">'6405'!$C$74</definedName>
    <definedName name="OB_201_AB">'6405'!$B$75</definedName>
    <definedName name="OB_201_U">'6405'!$C$75</definedName>
    <definedName name="OB_202_AB">'6405'!$B$76</definedName>
    <definedName name="OB_202_U">'6405'!$C$76</definedName>
    <definedName name="OB_302_AB">'6405'!$B$77</definedName>
    <definedName name="OB_302_U">'6405'!$C$77</definedName>
    <definedName name="OB_501_AB">'6405'!$B$78</definedName>
    <definedName name="OB_501_U">'6405'!$C$78</definedName>
    <definedName name="_xlnm.Print_Area" localSheetId="0">'6405'!$A$1:$R$90</definedName>
  </definedNames>
  <calcPr calcId="152511"/>
</workbook>
</file>

<file path=xl/calcChain.xml><?xml version="1.0" encoding="utf-8"?>
<calcChain xmlns="http://schemas.openxmlformats.org/spreadsheetml/2006/main">
  <c r="A8" i="1" l="1"/>
  <c r="C8" i="1" s="1"/>
  <c r="F8" i="1" s="1"/>
  <c r="G79" i="1"/>
  <c r="E79" i="1"/>
  <c r="E51" i="1"/>
  <c r="C79" i="1"/>
  <c r="B79" i="1"/>
  <c r="O74" i="1"/>
  <c r="Q77" i="1"/>
  <c r="L74" i="1"/>
  <c r="L77" i="1"/>
  <c r="L72" i="1"/>
  <c r="I18" i="1"/>
  <c r="E25" i="1"/>
  <c r="H18" i="1"/>
  <c r="H23" i="1"/>
  <c r="B25" i="1"/>
  <c r="I23" i="1"/>
  <c r="C25" i="1"/>
  <c r="I44" i="1"/>
  <c r="H44" i="1"/>
  <c r="H46" i="1"/>
  <c r="I46" i="1"/>
  <c r="H19" i="1"/>
  <c r="G51" i="1"/>
  <c r="C51" i="1"/>
  <c r="B51" i="1"/>
  <c r="M51" i="1"/>
  <c r="K51" i="1"/>
  <c r="I19" i="1"/>
  <c r="I20" i="1"/>
  <c r="I21" i="1"/>
  <c r="I22" i="1"/>
  <c r="I24" i="1"/>
  <c r="H20" i="1"/>
  <c r="H21" i="1"/>
  <c r="H22" i="1"/>
  <c r="H24" i="1"/>
  <c r="P72" i="1"/>
  <c r="N45" i="1"/>
  <c r="O45" i="1"/>
  <c r="N46" i="1"/>
  <c r="O46" i="1"/>
  <c r="N47" i="1"/>
  <c r="O47" i="1"/>
  <c r="N48" i="1"/>
  <c r="O48" i="1"/>
  <c r="N49" i="1"/>
  <c r="O49" i="1"/>
  <c r="N50" i="1"/>
  <c r="O50" i="1"/>
  <c r="H45" i="1"/>
  <c r="I45" i="1"/>
  <c r="H47" i="1"/>
  <c r="I47" i="1"/>
  <c r="H48" i="1"/>
  <c r="I48" i="1"/>
  <c r="H49" i="1"/>
  <c r="I49" i="1"/>
  <c r="H50" i="1"/>
  <c r="I50" i="1"/>
  <c r="O44" i="1"/>
  <c r="N44" i="1"/>
  <c r="P77" i="1"/>
  <c r="N77" i="1"/>
  <c r="M77" i="1"/>
  <c r="P74" i="1"/>
  <c r="N74" i="1"/>
  <c r="M74" i="1"/>
  <c r="M72" i="1"/>
  <c r="G25" i="1"/>
  <c r="K79" i="1"/>
  <c r="Q74" i="1"/>
  <c r="O77" i="1"/>
  <c r="O72" i="1"/>
  <c r="Q72" i="1"/>
  <c r="N72" i="1"/>
  <c r="I79" i="1"/>
  <c r="I51" i="1" l="1"/>
  <c r="N51" i="1"/>
  <c r="O51" i="1"/>
  <c r="H51" i="1"/>
  <c r="I25" i="1"/>
  <c r="H25" i="1"/>
</calcChain>
</file>

<file path=xl/sharedStrings.xml><?xml version="1.0" encoding="utf-8"?>
<sst xmlns="http://schemas.openxmlformats.org/spreadsheetml/2006/main" count="248" uniqueCount="100">
  <si>
    <t>(1)</t>
  </si>
  <si>
    <t>(2)</t>
  </si>
  <si>
    <t>(3)</t>
  </si>
  <si>
    <t>(4)</t>
  </si>
  <si>
    <t>(5)</t>
  </si>
  <si>
    <t>(6)</t>
  </si>
  <si>
    <t>(7)</t>
  </si>
  <si>
    <t>(8)=(2)-(5)</t>
  </si>
  <si>
    <t>(9)=(3)-(7)</t>
  </si>
  <si>
    <t>(10)</t>
  </si>
  <si>
    <t>(11)</t>
  </si>
  <si>
    <t>(12)</t>
  </si>
  <si>
    <t>(13)</t>
  </si>
  <si>
    <t>(14)=(2)-(11)</t>
  </si>
  <si>
    <t>(15)=(3)-(13)</t>
  </si>
  <si>
    <t>(16)</t>
  </si>
  <si>
    <t>971100.101</t>
  </si>
  <si>
    <t>971200.101</t>
  </si>
  <si>
    <t>971100.103</t>
  </si>
  <si>
    <t>971200.103</t>
  </si>
  <si>
    <t>971100.201</t>
  </si>
  <si>
    <t>971200.201</t>
  </si>
  <si>
    <t>971100.202</t>
  </si>
  <si>
    <t>971200.202</t>
  </si>
  <si>
    <t>971100.302</t>
  </si>
  <si>
    <t>971200.302</t>
  </si>
  <si>
    <t>N/A</t>
  </si>
  <si>
    <t>971100.102</t>
  </si>
  <si>
    <t>971200.102</t>
  </si>
  <si>
    <t>971100.501</t>
  </si>
  <si>
    <t>971200.501</t>
  </si>
  <si>
    <t>TKDK</t>
  </si>
  <si>
    <t xml:space="preserve">MUHASEBE                                                                                                                                                                              </t>
  </si>
  <si>
    <t>TL Cinsinden</t>
  </si>
  <si>
    <t xml:space="preserve">Hazırlayan: </t>
  </si>
  <si>
    <t xml:space="preserve">Kontrol Eden: </t>
  </si>
  <si>
    <t xml:space="preserve">Gözden Geçiren : </t>
  </si>
  <si>
    <t>Onay:</t>
  </si>
  <si>
    <t>Tablo 1: Toplam Kalan Borç Tutarı</t>
  </si>
  <si>
    <t>TALİMAT Mutabakat hazırlanırken bu satır silinir</t>
  </si>
  <si>
    <t>Borçlu Defterine (Merkez - 6305)  göre doldurulur.  Anapara ve faiz tutarı toplamı</t>
  </si>
  <si>
    <t>TKDK muhasebe kayıtlarına göre doldurulur. (Borç kalanı)</t>
  </si>
  <si>
    <t>Borçlu Defteri (6305)</t>
  </si>
  <si>
    <t>Muhasebe Kayıtları</t>
  </si>
  <si>
    <t>Hesaplanan Fark</t>
  </si>
  <si>
    <t>Farklılıkların Açıklaması</t>
  </si>
  <si>
    <t>Topluluk Katkısı</t>
  </si>
  <si>
    <t>Ulusal Katkı</t>
  </si>
  <si>
    <t>TL</t>
  </si>
  <si>
    <t>Hesap</t>
  </si>
  <si>
    <t>Genel Toplam</t>
  </si>
  <si>
    <t>Otomatik hesaplama</t>
  </si>
  <si>
    <t>Tedbir/Eksen</t>
  </si>
  <si>
    <t>Atıf #</t>
  </si>
  <si>
    <t>101      Tarım İşletmelerine Yatırım</t>
  </si>
  <si>
    <t>103      Tarım  ve su Ürünlerinin İşleme ve Pazarlamasına Yatırım</t>
  </si>
  <si>
    <t xml:space="preserve">201      Çevre ve Kırsal alanın geliştirilmesine yönelik faaliyetler  </t>
  </si>
  <si>
    <t xml:space="preserve">202      Yerel Kırsal Kalkınma faaliyetlerinin hazırlanması ve uygulanması </t>
  </si>
  <si>
    <t xml:space="preserve">302      Kırsal ekonomik faaliyetlerin çeşitlendirilmesi </t>
  </si>
  <si>
    <t>501      Teknik Destek</t>
  </si>
  <si>
    <t>102     Üretici Gruplarının Kurulmasına Destek</t>
  </si>
  <si>
    <t>Tablo 2: Geri Alınan Borçlar</t>
  </si>
  <si>
    <t>Farklılıkların Açıklamaları</t>
  </si>
  <si>
    <t xml:space="preserve">Atıf # </t>
  </si>
  <si>
    <t>Alınan Önlemler (tarih ve detaylar):</t>
  </si>
  <si>
    <t xml:space="preserve">Ekli belgeler: </t>
  </si>
  <si>
    <t>İşaretleyiniz</t>
  </si>
  <si>
    <t>6405 BORÇLU DEFTERİ İLE TKDK KAYITLARI ARASINDA MUTABAKAT</t>
  </si>
  <si>
    <t>Borçlu Defteri (Merkez - 6305)</t>
  </si>
  <si>
    <t>Geri Alınan Borçlar</t>
  </si>
  <si>
    <t>Toplam Geri Alınan</t>
  </si>
  <si>
    <t xml:space="preserve"> 1531, 1533, 1535 Nolu Hesapların Alacak Tutarlarını Giriniz(Eğer Geri Alım sebebi ile ise)</t>
  </si>
  <si>
    <t>1532, 1534, 1536 Nolu Hesapların Alacak Tutarlarını Giriniz(Eğer Geri Alım sebebi ile ise)</t>
  </si>
  <si>
    <t>Hesapların Borç Tutarlarını giriniz</t>
  </si>
  <si>
    <t>İlgili Defter-i Kebir (Merkez – 6303) hesaplarının kopyaları</t>
  </si>
  <si>
    <t>İlgili Defter-i Kebir (Merkez – 6303)  hesaplarının kopyaları</t>
  </si>
  <si>
    <t>(8)</t>
  </si>
  <si>
    <t>(9)</t>
  </si>
  <si>
    <t>(12)=(5)-(9)</t>
  </si>
  <si>
    <t>(13)=(2)-(5)</t>
  </si>
  <si>
    <t>(14)=(2)-(9)</t>
  </si>
  <si>
    <t>(15)=(7)-(11)</t>
  </si>
  <si>
    <t>(16)=(3)-(7)</t>
  </si>
  <si>
    <t>(17)=(3)-(11)</t>
  </si>
  <si>
    <t>(18)</t>
  </si>
  <si>
    <t>Mevcut Yılın açılış bakiyesi</t>
  </si>
  <si>
    <t>Geçmiş yılın kapanış bakiyesi</t>
  </si>
  <si>
    <t>Komisyon Katkısı</t>
  </si>
  <si>
    <t>Muhasebe kayıtları arasındaki farklar</t>
  </si>
  <si>
    <t>Geçmiş yılın kapanış bakiyesi için Borçlu Defteri ile muhasebe kayıtları arasındaki farklar</t>
  </si>
  <si>
    <t>Mevcut Yılın açılış bakiyesi için Borçlu Defteri ile muhasebe kayıtları arasındaki farklar</t>
  </si>
  <si>
    <t>TKDK muhasebe kayıtlarına göre doldurulur. (Borç toplamı)</t>
  </si>
  <si>
    <t>TKDK muhasebe kayıtlarına göre doldurulur. (Borç bakiyesi toplamı)</t>
  </si>
  <si>
    <t>Borçlu Defterine (Merkez - 6305)  göre doldurulur.  Bekleyen ön-borç toplamı</t>
  </si>
  <si>
    <t>Tablo 3-  Borçlu Defterine kaydedilen Ön-Borçlar ve Muhasebe Kayıtları -  Yıllık mutabakat (TL olarak)</t>
  </si>
  <si>
    <t>ab</t>
  </si>
  <si>
    <t>ul</t>
  </si>
  <si>
    <t>VERSİYON 10.5.1</t>
  </si>
  <si>
    <t xml:space="preserve">Tarih:  </t>
  </si>
  <si>
    <t xml:space="preserve">Dönem: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</si>
</sst>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-* #,##0.00\ _T_L_-;\-* #,##0.00\ _T_L_-;_-* &quot;-&quot;??\ _T_L_-;_-@_-"/>
    <numFmt numFmtId="165" formatCode="_-* #,##0.00\ _k_r_-;\-* #,##0.00\ _k_r_-;_-* &quot;-&quot;??\ _k_r_-;_-@_-"/>
    <numFmt numFmtId="166" formatCode="0_ ;[Red]\-0\ "/>
  </numFmts>
  <fonts count="30" x14ac:knownFonts="1">
    <font>
      <sz val="11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b/>
      <sz val="14"/>
      <name val="Arial"/>
      <family val="2"/>
      <charset val="238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i/>
      <sz val="8"/>
      <name val="Arial"/>
      <family val="2"/>
    </font>
    <font>
      <sz val="9"/>
      <name val="Arial"/>
      <family val="2"/>
      <charset val="162"/>
    </font>
    <font>
      <b/>
      <u/>
      <sz val="11"/>
      <color indexed="18"/>
      <name val="Arial Narrow"/>
      <family val="2"/>
    </font>
    <font>
      <sz val="10"/>
      <name val="Arial"/>
      <family val="2"/>
      <charset val="162"/>
    </font>
    <font>
      <b/>
      <sz val="16"/>
      <color indexed="54"/>
      <name val="Tahoma"/>
      <family val="2"/>
      <charset val="162"/>
    </font>
    <font>
      <sz val="11"/>
      <color indexed="8"/>
      <name val="Wide Latin"/>
      <family val="1"/>
    </font>
    <font>
      <b/>
      <sz val="12"/>
      <color indexed="9"/>
      <name val="Tahoma"/>
      <family val="2"/>
      <charset val="162"/>
    </font>
    <font>
      <b/>
      <sz val="8"/>
      <color indexed="9"/>
      <name val="Tahoma"/>
      <family val="2"/>
      <charset val="162"/>
    </font>
    <font>
      <b/>
      <sz val="14"/>
      <name val="Tahoma"/>
      <family val="2"/>
      <charset val="162"/>
    </font>
    <font>
      <b/>
      <u/>
      <sz val="11"/>
      <color indexed="10"/>
      <name val="Arial Narrow"/>
      <family val="2"/>
    </font>
    <font>
      <sz val="11"/>
      <name val="Arial Narrow"/>
      <family val="2"/>
    </font>
    <font>
      <b/>
      <sz val="9"/>
      <name val="Arial Narrow"/>
      <family val="2"/>
    </font>
    <font>
      <sz val="10"/>
      <name val="Arial Narrow"/>
      <family val="2"/>
      <charset val="162"/>
    </font>
    <font>
      <b/>
      <i/>
      <sz val="10"/>
      <name val="Arial"/>
      <family val="2"/>
    </font>
    <font>
      <b/>
      <sz val="9"/>
      <name val="Arial"/>
      <family val="2"/>
      <charset val="162"/>
    </font>
    <font>
      <b/>
      <sz val="10"/>
      <name val="Arial"/>
      <family val="2"/>
      <charset val="162"/>
    </font>
    <font>
      <sz val="10"/>
      <name val="Arial"/>
      <family val="2"/>
    </font>
    <font>
      <i/>
      <sz val="9"/>
      <name val="Arial"/>
      <family val="2"/>
      <charset val="162"/>
    </font>
    <font>
      <sz val="11"/>
      <name val="Arial Narrow"/>
      <family val="2"/>
      <charset val="162"/>
    </font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9"/>
      <color theme="1"/>
      <name val="Arial"/>
      <family val="2"/>
      <charset val="162"/>
    </font>
    <font>
      <sz val="10"/>
      <color theme="0"/>
      <name val="Arial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2"/>
      </left>
      <right/>
      <top style="thin">
        <color indexed="62"/>
      </top>
      <bottom style="thin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0" fontId="1" fillId="0" borderId="0"/>
    <xf numFmtId="164" fontId="26" fillId="0" borderId="0" applyFont="0" applyFill="0" applyBorder="0" applyAlignment="0" applyProtection="0"/>
  </cellStyleXfs>
  <cellXfs count="232">
    <xf numFmtId="0" fontId="0" fillId="0" borderId="0" xfId="0"/>
    <xf numFmtId="0" fontId="1" fillId="0" borderId="0" xfId="2"/>
    <xf numFmtId="165" fontId="2" fillId="0" borderId="0" xfId="1" applyFont="1" applyFill="1" applyBorder="1" applyAlignment="1">
      <alignment horizontal="left"/>
    </xf>
    <xf numFmtId="0" fontId="1" fillId="0" borderId="1" xfId="2" applyBorder="1"/>
    <xf numFmtId="0" fontId="1" fillId="0" borderId="2" xfId="2" applyBorder="1"/>
    <xf numFmtId="0" fontId="1" fillId="0" borderId="3" xfId="2" applyBorder="1"/>
    <xf numFmtId="0" fontId="1" fillId="0" borderId="4" xfId="2" applyBorder="1"/>
    <xf numFmtId="0" fontId="1" fillId="0" borderId="0" xfId="2" applyBorder="1" applyAlignment="1">
      <alignment vertical="top" wrapText="1"/>
    </xf>
    <xf numFmtId="0" fontId="7" fillId="0" borderId="5" xfId="2" applyFont="1" applyBorder="1" applyAlignment="1">
      <alignment vertical="top" wrapText="1"/>
    </xf>
    <xf numFmtId="0" fontId="10" fillId="0" borderId="0" xfId="2" applyFont="1" applyBorder="1"/>
    <xf numFmtId="0" fontId="10" fillId="0" borderId="6" xfId="2" applyFont="1" applyBorder="1"/>
    <xf numFmtId="0" fontId="12" fillId="0" borderId="0" xfId="2" applyFont="1" applyAlignment="1">
      <alignment horizontal="center"/>
    </xf>
    <xf numFmtId="0" fontId="5" fillId="0" borderId="0" xfId="2" applyFont="1"/>
    <xf numFmtId="166" fontId="3" fillId="0" borderId="8" xfId="2" quotePrefix="1" applyNumberFormat="1" applyFont="1" applyBorder="1" applyAlignment="1">
      <alignment horizontal="center" vertical="top" wrapText="1"/>
    </xf>
    <xf numFmtId="166" fontId="3" fillId="0" borderId="9" xfId="2" quotePrefix="1" applyNumberFormat="1" applyFont="1" applyBorder="1" applyAlignment="1">
      <alignment horizontal="center" vertical="top" wrapText="1"/>
    </xf>
    <xf numFmtId="0" fontId="7" fillId="0" borderId="11" xfId="2" applyFont="1" applyBorder="1" applyAlignment="1">
      <alignment horizontal="center" vertical="top" wrapText="1"/>
    </xf>
    <xf numFmtId="166" fontId="3" fillId="2" borderId="9" xfId="2" quotePrefix="1" applyNumberFormat="1" applyFont="1" applyFill="1" applyBorder="1" applyAlignment="1">
      <alignment horizontal="center" vertical="top" wrapText="1"/>
    </xf>
    <xf numFmtId="166" fontId="3" fillId="0" borderId="13" xfId="2" quotePrefix="1" applyNumberFormat="1" applyFont="1" applyBorder="1" applyAlignment="1">
      <alignment horizontal="center" vertical="top" wrapText="1"/>
    </xf>
    <xf numFmtId="0" fontId="8" fillId="0" borderId="0" xfId="2" applyFont="1" applyBorder="1" applyAlignment="1">
      <alignment vertical="top" wrapText="1"/>
    </xf>
    <xf numFmtId="0" fontId="17" fillId="0" borderId="14" xfId="2" applyFont="1" applyBorder="1"/>
    <xf numFmtId="0" fontId="9" fillId="0" borderId="14" xfId="2" applyFont="1" applyBorder="1"/>
    <xf numFmtId="0" fontId="17" fillId="0" borderId="15" xfId="2" applyFont="1" applyBorder="1"/>
    <xf numFmtId="0" fontId="17" fillId="0" borderId="0" xfId="2" applyFont="1" applyBorder="1"/>
    <xf numFmtId="0" fontId="9" fillId="0" borderId="6" xfId="2" applyFont="1" applyBorder="1"/>
    <xf numFmtId="0" fontId="9" fillId="0" borderId="0" xfId="2" applyFont="1" applyBorder="1"/>
    <xf numFmtId="0" fontId="17" fillId="0" borderId="1" xfId="2" applyFont="1" applyBorder="1"/>
    <xf numFmtId="0" fontId="18" fillId="0" borderId="2" xfId="2" applyFont="1" applyBorder="1" applyAlignment="1">
      <alignment horizontal="center" vertical="top"/>
    </xf>
    <xf numFmtId="0" fontId="19" fillId="0" borderId="4" xfId="2" applyFont="1" applyBorder="1" applyAlignment="1">
      <alignment vertical="top" wrapText="1"/>
    </xf>
    <xf numFmtId="0" fontId="17" fillId="0" borderId="2" xfId="2" applyFont="1" applyBorder="1" applyAlignment="1">
      <alignment vertical="top"/>
    </xf>
    <xf numFmtId="0" fontId="17" fillId="0" borderId="4" xfId="2" applyFont="1" applyBorder="1" applyAlignment="1">
      <alignment vertical="top"/>
    </xf>
    <xf numFmtId="0" fontId="17" fillId="0" borderId="3" xfId="2" applyFont="1" applyBorder="1" applyAlignment="1">
      <alignment vertical="top"/>
    </xf>
    <xf numFmtId="0" fontId="1" fillId="0" borderId="15" xfId="2" applyBorder="1" applyAlignment="1">
      <alignment horizontal="center"/>
    </xf>
    <xf numFmtId="0" fontId="7" fillId="0" borderId="16" xfId="2" applyFont="1" applyBorder="1" applyAlignment="1">
      <alignment vertical="top" wrapText="1"/>
    </xf>
    <xf numFmtId="0" fontId="5" fillId="0" borderId="17" xfId="2" applyFont="1" applyBorder="1" applyAlignment="1">
      <alignment horizontal="center" vertical="center"/>
    </xf>
    <xf numFmtId="0" fontId="5" fillId="0" borderId="17" xfId="2" applyFont="1" applyBorder="1" applyAlignment="1">
      <alignment horizontal="center" vertical="center" wrapText="1"/>
    </xf>
    <xf numFmtId="0" fontId="1" fillId="0" borderId="7" xfId="2" applyBorder="1" applyAlignment="1">
      <alignment horizontal="center" vertical="center" wrapText="1"/>
    </xf>
    <xf numFmtId="0" fontId="1" fillId="0" borderId="0" xfId="2" applyAlignment="1">
      <alignment horizontal="center" vertical="center"/>
    </xf>
    <xf numFmtId="0" fontId="3" fillId="0" borderId="17" xfId="2" applyFont="1" applyBorder="1" applyAlignment="1">
      <alignment horizontal="center" vertical="center"/>
    </xf>
    <xf numFmtId="0" fontId="1" fillId="0" borderId="17" xfId="2" applyBorder="1" applyAlignment="1">
      <alignment horizontal="center" vertical="center" wrapText="1"/>
    </xf>
    <xf numFmtId="0" fontId="7" fillId="0" borderId="12" xfId="2" applyFont="1" applyFill="1" applyBorder="1" applyAlignment="1">
      <alignment horizontal="center" vertical="top" wrapText="1"/>
    </xf>
    <xf numFmtId="166" fontId="3" fillId="0" borderId="11" xfId="2" quotePrefix="1" applyNumberFormat="1" applyFont="1" applyBorder="1" applyAlignment="1">
      <alignment horizontal="center" vertical="top" wrapText="1"/>
    </xf>
    <xf numFmtId="0" fontId="5" fillId="0" borderId="7" xfId="2" applyFont="1" applyBorder="1" applyAlignment="1">
      <alignment horizontal="center" vertical="center"/>
    </xf>
    <xf numFmtId="0" fontId="3" fillId="0" borderId="7" xfId="2" applyFont="1" applyBorder="1" applyAlignment="1">
      <alignment horizontal="center" vertical="center"/>
    </xf>
    <xf numFmtId="0" fontId="20" fillId="0" borderId="0" xfId="2" applyFont="1"/>
    <xf numFmtId="0" fontId="1" fillId="0" borderId="0" xfId="2" applyFill="1"/>
    <xf numFmtId="0" fontId="1" fillId="0" borderId="12" xfId="2" applyBorder="1" applyAlignment="1">
      <alignment vertical="center"/>
    </xf>
    <xf numFmtId="0" fontId="1" fillId="0" borderId="11" xfId="2" applyBorder="1" applyAlignment="1">
      <alignment horizontal="center" vertical="center"/>
    </xf>
    <xf numFmtId="0" fontId="7" fillId="0" borderId="11" xfId="2" applyFont="1" applyFill="1" applyBorder="1" applyAlignment="1">
      <alignment horizontal="center" vertical="top" wrapText="1"/>
    </xf>
    <xf numFmtId="0" fontId="22" fillId="0" borderId="11" xfId="2" quotePrefix="1" applyFont="1" applyBorder="1" applyAlignment="1">
      <alignment horizontal="center" vertical="center" wrapText="1"/>
    </xf>
    <xf numFmtId="0" fontId="4" fillId="0" borderId="0" xfId="2" applyFont="1" applyBorder="1" applyAlignment="1">
      <alignment vertical="top" wrapText="1"/>
    </xf>
    <xf numFmtId="0" fontId="4" fillId="0" borderId="0" xfId="2" applyFont="1" applyBorder="1" applyAlignment="1">
      <alignment horizontal="center" vertical="top" wrapText="1"/>
    </xf>
    <xf numFmtId="0" fontId="1" fillId="0" borderId="0" xfId="2" applyBorder="1"/>
    <xf numFmtId="0" fontId="11" fillId="0" borderId="21" xfId="0" applyFont="1" applyBorder="1" applyAlignment="1">
      <alignment wrapText="1"/>
    </xf>
    <xf numFmtId="0" fontId="13" fillId="3" borderId="0" xfId="0" applyFont="1" applyFill="1" applyBorder="1" applyAlignment="1"/>
    <xf numFmtId="0" fontId="0" fillId="0" borderId="0" xfId="0" applyBorder="1" applyAlignment="1">
      <alignment vertical="top" wrapText="1"/>
    </xf>
    <xf numFmtId="0" fontId="8" fillId="2" borderId="22" xfId="0" applyFont="1" applyFill="1" applyBorder="1" applyAlignment="1">
      <alignment vertical="top"/>
    </xf>
    <xf numFmtId="0" fontId="8" fillId="2" borderId="15" xfId="0" applyFont="1" applyFill="1" applyBorder="1" applyAlignment="1">
      <alignment vertical="top" wrapText="1"/>
    </xf>
    <xf numFmtId="0" fontId="8" fillId="2" borderId="15" xfId="0" applyFont="1" applyFill="1" applyBorder="1" applyAlignment="1">
      <alignment horizontal="center" vertical="top" wrapText="1"/>
    </xf>
    <xf numFmtId="0" fontId="8" fillId="2" borderId="15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7" fillId="2" borderId="11" xfId="0" applyFont="1" applyFill="1" applyBorder="1" applyAlignment="1">
      <alignment horizontal="center" vertical="top" wrapText="1"/>
    </xf>
    <xf numFmtId="0" fontId="5" fillId="0" borderId="0" xfId="0" applyFont="1"/>
    <xf numFmtId="0" fontId="16" fillId="0" borderId="22" xfId="0" applyFont="1" applyBorder="1" applyAlignment="1"/>
    <xf numFmtId="0" fontId="18" fillId="0" borderId="6" xfId="0" applyFont="1" applyBorder="1" applyAlignment="1">
      <alignment horizontal="center" vertical="top"/>
    </xf>
    <xf numFmtId="0" fontId="9" fillId="0" borderId="22" xfId="0" applyFont="1" applyBorder="1"/>
    <xf numFmtId="0" fontId="0" fillId="0" borderId="14" xfId="0" applyBorder="1" applyAlignment="1">
      <alignment horizontal="center"/>
    </xf>
    <xf numFmtId="0" fontId="1" fillId="0" borderId="6" xfId="2" applyFont="1" applyBorder="1" applyAlignment="1">
      <alignment vertical="top"/>
    </xf>
    <xf numFmtId="0" fontId="1" fillId="0" borderId="6" xfId="2" applyFont="1" applyBorder="1"/>
    <xf numFmtId="0" fontId="0" fillId="0" borderId="7" xfId="0" applyBorder="1" applyAlignment="1">
      <alignment horizontal="center" vertical="center" wrapText="1"/>
    </xf>
    <xf numFmtId="0" fontId="21" fillId="0" borderId="0" xfId="2" applyFont="1" applyBorder="1" applyAlignment="1">
      <alignment vertical="top" wrapText="1"/>
    </xf>
    <xf numFmtId="165" fontId="2" fillId="0" borderId="0" xfId="3" applyNumberFormat="1" applyFont="1" applyFill="1" applyBorder="1" applyAlignment="1">
      <alignment horizontal="right"/>
    </xf>
    <xf numFmtId="0" fontId="1" fillId="0" borderId="0" xfId="2" applyFont="1" applyAlignment="1">
      <alignment horizontal="center" vertical="center"/>
    </xf>
    <xf numFmtId="0" fontId="0" fillId="0" borderId="0" xfId="0" applyFont="1"/>
    <xf numFmtId="0" fontId="1" fillId="4" borderId="7" xfId="2" applyFont="1" applyFill="1" applyBorder="1" applyAlignment="1">
      <alignment horizontal="center" vertical="center" wrapText="1"/>
    </xf>
    <xf numFmtId="0" fontId="1" fillId="4" borderId="17" xfId="2" applyFont="1" applyFill="1" applyBorder="1" applyAlignment="1">
      <alignment horizontal="center" vertical="center" wrapText="1"/>
    </xf>
    <xf numFmtId="0" fontId="1" fillId="0" borderId="0" xfId="2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166" fontId="4" fillId="0" borderId="8" xfId="2" quotePrefix="1" applyNumberFormat="1" applyFont="1" applyBorder="1" applyAlignment="1">
      <alignment horizontal="center" vertical="top" wrapText="1"/>
    </xf>
    <xf numFmtId="166" fontId="4" fillId="0" borderId="9" xfId="2" quotePrefix="1" applyNumberFormat="1" applyFont="1" applyBorder="1" applyAlignment="1">
      <alignment horizontal="center" vertical="top" wrapText="1"/>
    </xf>
    <xf numFmtId="166" fontId="4" fillId="4" borderId="9" xfId="2" quotePrefix="1" applyNumberFormat="1" applyFont="1" applyFill="1" applyBorder="1" applyAlignment="1">
      <alignment horizontal="center" vertical="top" wrapText="1"/>
    </xf>
    <xf numFmtId="0" fontId="1" fillId="0" borderId="0" xfId="2" applyFont="1"/>
    <xf numFmtId="0" fontId="24" fillId="0" borderId="11" xfId="2" applyFont="1" applyBorder="1" applyAlignment="1">
      <alignment horizontal="center" vertical="top" wrapText="1"/>
    </xf>
    <xf numFmtId="0" fontId="8" fillId="0" borderId="11" xfId="2" applyFont="1" applyBorder="1" applyAlignment="1">
      <alignment horizontal="center" vertical="center"/>
    </xf>
    <xf numFmtId="0" fontId="8" fillId="0" borderId="0" xfId="2" applyFont="1"/>
    <xf numFmtId="0" fontId="28" fillId="0" borderId="0" xfId="0" applyFont="1"/>
    <xf numFmtId="4" fontId="1" fillId="0" borderId="0" xfId="2" applyNumberFormat="1" applyBorder="1" applyAlignment="1">
      <alignment horizontal="center" vertical="center"/>
    </xf>
    <xf numFmtId="0" fontId="1" fillId="0" borderId="0" xfId="2" applyBorder="1" applyAlignment="1">
      <alignment horizontal="center" vertical="center"/>
    </xf>
    <xf numFmtId="0" fontId="1" fillId="0" borderId="0" xfId="2" applyFill="1" applyBorder="1"/>
    <xf numFmtId="0" fontId="0" fillId="0" borderId="0" xfId="0" applyBorder="1"/>
    <xf numFmtId="4" fontId="1" fillId="0" borderId="0" xfId="2" applyNumberFormat="1" applyBorder="1"/>
    <xf numFmtId="4" fontId="22" fillId="0" borderId="0" xfId="2" applyNumberFormat="1" applyFont="1" applyBorder="1"/>
    <xf numFmtId="4" fontId="1" fillId="2" borderId="10" xfId="2" applyNumberFormat="1" applyFill="1" applyBorder="1" applyAlignment="1">
      <alignment horizontal="center" vertical="center"/>
    </xf>
    <xf numFmtId="0" fontId="29" fillId="0" borderId="0" xfId="2" applyFont="1"/>
    <xf numFmtId="0" fontId="27" fillId="0" borderId="0" xfId="0" applyFont="1"/>
    <xf numFmtId="0" fontId="21" fillId="0" borderId="5" xfId="2" applyFont="1" applyBorder="1" applyAlignment="1">
      <alignment horizontal="left" vertical="center" wrapText="1"/>
    </xf>
    <xf numFmtId="0" fontId="27" fillId="0" borderId="0" xfId="0" applyFont="1" applyAlignment="1">
      <alignment vertical="center"/>
    </xf>
    <xf numFmtId="0" fontId="0" fillId="0" borderId="0" xfId="0" applyAlignment="1">
      <alignment vertical="center"/>
    </xf>
    <xf numFmtId="0" fontId="13" fillId="3" borderId="24" xfId="0" applyFont="1" applyFill="1" applyBorder="1" applyAlignment="1">
      <alignment vertical="center"/>
    </xf>
    <xf numFmtId="0" fontId="14" fillId="3" borderId="0" xfId="0" applyFont="1" applyFill="1" applyBorder="1" applyAlignment="1">
      <alignment horizontal="right" vertical="center"/>
    </xf>
    <xf numFmtId="4" fontId="0" fillId="0" borderId="0" xfId="0" applyNumberFormat="1"/>
    <xf numFmtId="4" fontId="4" fillId="0" borderId="12" xfId="2" applyNumberFormat="1" applyFont="1" applyBorder="1" applyAlignment="1">
      <alignment horizontal="center" vertical="center" wrapText="1"/>
    </xf>
    <xf numFmtId="0" fontId="4" fillId="0" borderId="12" xfId="2" applyFont="1" applyBorder="1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4" fontId="1" fillId="2" borderId="25" xfId="2" applyNumberFormat="1" applyFill="1" applyBorder="1" applyAlignment="1">
      <alignment horizontal="center" vertical="center"/>
    </xf>
    <xf numFmtId="0" fontId="8" fillId="0" borderId="2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4" fontId="1" fillId="0" borderId="0" xfId="2" applyNumberFormat="1"/>
    <xf numFmtId="0" fontId="1" fillId="0" borderId="10" xfId="2" applyBorder="1" applyAlignment="1">
      <alignment horizontal="left" vertical="center" wrapText="1"/>
    </xf>
    <xf numFmtId="49" fontId="1" fillId="0" borderId="10" xfId="2" applyNumberFormat="1" applyBorder="1" applyAlignment="1">
      <alignment horizontal="center" vertical="center" wrapText="1"/>
    </xf>
    <xf numFmtId="49" fontId="10" fillId="0" borderId="10" xfId="2" applyNumberFormat="1" applyFont="1" applyBorder="1" applyAlignment="1">
      <alignment horizontal="center" vertical="center" wrapText="1"/>
    </xf>
    <xf numFmtId="0" fontId="1" fillId="0" borderId="10" xfId="2" applyFont="1" applyBorder="1" applyAlignment="1">
      <alignment horizontal="left" vertical="center" wrapText="1"/>
    </xf>
    <xf numFmtId="0" fontId="21" fillId="0" borderId="26" xfId="2" applyFont="1" applyBorder="1" applyAlignment="1">
      <alignment horizontal="left" vertical="center" wrapText="1"/>
    </xf>
    <xf numFmtId="0" fontId="21" fillId="0" borderId="19" xfId="2" applyFont="1" applyBorder="1" applyAlignment="1">
      <alignment horizontal="left" vertical="center" wrapText="1"/>
    </xf>
    <xf numFmtId="0" fontId="21" fillId="0" borderId="27" xfId="2" applyFont="1" applyBorder="1" applyAlignment="1">
      <alignment horizontal="left" vertical="center" wrapText="1"/>
    </xf>
    <xf numFmtId="0" fontId="21" fillId="0" borderId="26" xfId="2" applyFont="1" applyBorder="1" applyAlignment="1">
      <alignment vertical="center" wrapText="1"/>
    </xf>
    <xf numFmtId="0" fontId="21" fillId="0" borderId="19" xfId="2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8" fillId="0" borderId="1" xfId="0" applyFont="1" applyBorder="1" applyAlignment="1">
      <alignment vertical="top" wrapText="1"/>
    </xf>
    <xf numFmtId="4" fontId="1" fillId="0" borderId="10" xfId="2" applyNumberFormat="1" applyBorder="1" applyAlignment="1">
      <alignment horizontal="left" vertical="center" wrapText="1"/>
    </xf>
    <xf numFmtId="4" fontId="1" fillId="0" borderId="0" xfId="2" applyNumberFormat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4" fontId="1" fillId="4" borderId="10" xfId="2" applyNumberFormat="1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vertical="top" wrapText="1"/>
    </xf>
    <xf numFmtId="0" fontId="8" fillId="0" borderId="25" xfId="0" applyFont="1" applyBorder="1" applyAlignment="1">
      <alignment vertical="top" wrapText="1"/>
    </xf>
    <xf numFmtId="0" fontId="8" fillId="0" borderId="10" xfId="0" applyFont="1" applyBorder="1" applyAlignment="1">
      <alignment vertical="center" wrapText="1"/>
    </xf>
    <xf numFmtId="4" fontId="1" fillId="5" borderId="10" xfId="2" applyNumberFormat="1" applyFill="1" applyBorder="1" applyAlignment="1">
      <alignment horizontal="center" vertical="center"/>
    </xf>
    <xf numFmtId="4" fontId="1" fillId="5" borderId="12" xfId="2" applyNumberFormat="1" applyFill="1" applyBorder="1" applyAlignment="1">
      <alignment horizontal="center" vertical="center"/>
    </xf>
    <xf numFmtId="4" fontId="1" fillId="6" borderId="10" xfId="2" applyNumberFormat="1" applyFill="1" applyBorder="1" applyAlignment="1">
      <alignment horizontal="center" vertical="center" wrapText="1"/>
    </xf>
    <xf numFmtId="4" fontId="1" fillId="6" borderId="12" xfId="2" applyNumberFormat="1" applyFill="1" applyBorder="1" applyAlignment="1">
      <alignment horizontal="center" vertical="center"/>
    </xf>
    <xf numFmtId="4" fontId="4" fillId="6" borderId="12" xfId="2" applyNumberFormat="1" applyFont="1" applyFill="1" applyBorder="1" applyAlignment="1">
      <alignment horizontal="center" vertical="center" wrapText="1"/>
    </xf>
    <xf numFmtId="0" fontId="21" fillId="0" borderId="20" xfId="2" applyFont="1" applyBorder="1" applyAlignment="1">
      <alignment horizontal="left" vertical="center" wrapText="1"/>
    </xf>
    <xf numFmtId="0" fontId="1" fillId="6" borderId="10" xfId="2" applyFill="1" applyBorder="1" applyAlignment="1">
      <alignment horizontal="center" vertical="center"/>
    </xf>
    <xf numFmtId="0" fontId="1" fillId="6" borderId="7" xfId="2" applyFill="1" applyBorder="1" applyAlignment="1">
      <alignment horizontal="center" vertical="center"/>
    </xf>
    <xf numFmtId="0" fontId="1" fillId="0" borderId="12" xfId="2" applyBorder="1" applyAlignment="1">
      <alignment horizontal="center" vertical="center"/>
    </xf>
    <xf numFmtId="4" fontId="1" fillId="2" borderId="12" xfId="2" applyNumberFormat="1" applyFill="1" applyBorder="1" applyAlignment="1">
      <alignment horizontal="center" vertical="center"/>
    </xf>
    <xf numFmtId="4" fontId="1" fillId="0" borderId="10" xfId="2" applyNumberFormat="1" applyBorder="1" applyAlignment="1">
      <alignment horizontal="left" vertical="center"/>
    </xf>
    <xf numFmtId="0" fontId="1" fillId="0" borderId="10" xfId="2" applyBorder="1" applyAlignment="1">
      <alignment horizontal="left" vertical="center"/>
    </xf>
    <xf numFmtId="0" fontId="1" fillId="0" borderId="25" xfId="2" applyBorder="1" applyAlignment="1">
      <alignment horizontal="left" vertical="center"/>
    </xf>
    <xf numFmtId="0" fontId="1" fillId="0" borderId="18" xfId="2" applyBorder="1" applyAlignment="1">
      <alignment horizontal="left" vertical="center"/>
    </xf>
    <xf numFmtId="0" fontId="21" fillId="0" borderId="20" xfId="2" applyFont="1" applyBorder="1" applyAlignment="1">
      <alignment vertical="center" wrapText="1"/>
    </xf>
    <xf numFmtId="0" fontId="4" fillId="0" borderId="18" xfId="2" applyFont="1" applyBorder="1" applyAlignment="1">
      <alignment horizontal="center" vertical="center" wrapText="1"/>
    </xf>
    <xf numFmtId="0" fontId="1" fillId="0" borderId="7" xfId="2" applyBorder="1" applyAlignment="1">
      <alignment horizontal="left" vertical="center"/>
    </xf>
    <xf numFmtId="0" fontId="21" fillId="0" borderId="20" xfId="2" applyFont="1" applyBorder="1" applyAlignment="1">
      <alignment horizontal="center" vertical="center" wrapText="1"/>
    </xf>
    <xf numFmtId="0" fontId="21" fillId="0" borderId="5" xfId="2" applyFont="1" applyBorder="1" applyAlignment="1">
      <alignment vertical="center" wrapText="1"/>
    </xf>
    <xf numFmtId="0" fontId="1" fillId="0" borderId="10" xfId="2" applyFont="1" applyBorder="1" applyAlignment="1">
      <alignment horizontal="center" vertical="center"/>
    </xf>
    <xf numFmtId="0" fontId="1" fillId="4" borderId="10" xfId="2" applyFont="1" applyFill="1" applyBorder="1" applyAlignment="1">
      <alignment horizontal="center" vertical="center"/>
    </xf>
    <xf numFmtId="4" fontId="1" fillId="0" borderId="12" xfId="2" applyNumberFormat="1" applyBorder="1" applyAlignment="1">
      <alignment horizontal="center" vertical="center"/>
    </xf>
    <xf numFmtId="0" fontId="1" fillId="4" borderId="12" xfId="2" applyFill="1" applyBorder="1" applyAlignment="1">
      <alignment horizontal="center" vertical="center"/>
    </xf>
    <xf numFmtId="4" fontId="1" fillId="5" borderId="10" xfId="2" applyNumberFormat="1" applyFill="1" applyBorder="1" applyAlignment="1">
      <alignment horizontal="center" vertical="center" wrapText="1"/>
    </xf>
    <xf numFmtId="4" fontId="6" fillId="0" borderId="10" xfId="2" applyNumberFormat="1" applyFont="1" applyBorder="1" applyAlignment="1">
      <alignment horizontal="center" vertical="center" wrapText="1"/>
    </xf>
    <xf numFmtId="4" fontId="1" fillId="6" borderId="10" xfId="2" applyNumberFormat="1" applyFill="1" applyBorder="1" applyAlignment="1">
      <alignment horizontal="center" vertical="center"/>
    </xf>
    <xf numFmtId="4" fontId="1" fillId="6" borderId="7" xfId="2" applyNumberFormat="1" applyFill="1" applyBorder="1" applyAlignment="1">
      <alignment horizontal="center" vertical="center"/>
    </xf>
    <xf numFmtId="4" fontId="1" fillId="0" borderId="10" xfId="2" applyNumberFormat="1" applyFont="1" applyBorder="1" applyAlignment="1">
      <alignment horizontal="center" vertical="center" wrapText="1"/>
    </xf>
    <xf numFmtId="0" fontId="25" fillId="0" borderId="6" xfId="0" applyFont="1" applyBorder="1" applyAlignment="1">
      <alignment horizontal="left" vertical="top" wrapText="1"/>
    </xf>
    <xf numFmtId="0" fontId="25" fillId="0" borderId="0" xfId="0" applyFont="1" applyBorder="1" applyAlignment="1">
      <alignment horizontal="left" vertical="top" wrapText="1"/>
    </xf>
    <xf numFmtId="0" fontId="25" fillId="0" borderId="1" xfId="0" applyFont="1" applyBorder="1" applyAlignment="1">
      <alignment horizontal="left" vertical="top" wrapText="1"/>
    </xf>
    <xf numFmtId="0" fontId="25" fillId="0" borderId="2" xfId="0" applyFont="1" applyBorder="1" applyAlignment="1">
      <alignment horizontal="left" vertical="top" wrapText="1"/>
    </xf>
    <xf numFmtId="0" fontId="25" fillId="0" borderId="4" xfId="0" applyFont="1" applyBorder="1" applyAlignment="1">
      <alignment horizontal="left" vertical="top" wrapText="1"/>
    </xf>
    <xf numFmtId="0" fontId="25" fillId="0" borderId="3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center" vertical="center" wrapText="1"/>
    </xf>
    <xf numFmtId="0" fontId="5" fillId="0" borderId="28" xfId="0" applyFont="1" applyBorder="1" applyAlignment="1">
      <alignment horizontal="center" vertical="center" wrapText="1"/>
    </xf>
    <xf numFmtId="0" fontId="8" fillId="2" borderId="22" xfId="0" applyFont="1" applyFill="1" applyBorder="1" applyAlignment="1">
      <alignment horizontal="left" vertical="top" wrapText="1"/>
    </xf>
    <xf numFmtId="0" fontId="8" fillId="2" borderId="15" xfId="0" applyFont="1" applyFill="1" applyBorder="1" applyAlignment="1">
      <alignment horizontal="left" vertical="top" wrapText="1"/>
    </xf>
    <xf numFmtId="0" fontId="8" fillId="0" borderId="6" xfId="0" applyFont="1" applyBorder="1" applyAlignment="1">
      <alignment horizontal="left" vertical="top" wrapText="1"/>
    </xf>
    <xf numFmtId="0" fontId="8" fillId="0" borderId="1" xfId="0" applyFont="1" applyBorder="1" applyAlignment="1">
      <alignment horizontal="left" vertical="top" wrapText="1"/>
    </xf>
    <xf numFmtId="0" fontId="8" fillId="0" borderId="6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5" fillId="0" borderId="29" xfId="0" applyFont="1" applyBorder="1" applyAlignment="1">
      <alignment horizontal="center" vertical="center" wrapText="1"/>
    </xf>
    <xf numFmtId="0" fontId="1" fillId="4" borderId="17" xfId="2" applyFont="1" applyFill="1" applyBorder="1" applyAlignment="1">
      <alignment horizontal="center" vertical="center" wrapText="1"/>
    </xf>
    <xf numFmtId="0" fontId="1" fillId="4" borderId="29" xfId="2" applyFont="1" applyFill="1" applyBorder="1" applyAlignment="1">
      <alignment horizontal="center" vertical="center" wrapText="1"/>
    </xf>
    <xf numFmtId="0" fontId="1" fillId="4" borderId="28" xfId="2" applyFont="1" applyFill="1" applyBorder="1" applyAlignment="1">
      <alignment horizontal="center" vertical="center" wrapText="1"/>
    </xf>
    <xf numFmtId="0" fontId="10" fillId="0" borderId="17" xfId="2" applyFont="1" applyBorder="1" applyAlignment="1">
      <alignment horizontal="center" vertical="center" wrapText="1"/>
    </xf>
    <xf numFmtId="0" fontId="10" fillId="0" borderId="28" xfId="2" applyFont="1" applyBorder="1" applyAlignment="1">
      <alignment horizontal="center" vertical="center" wrapText="1"/>
    </xf>
    <xf numFmtId="0" fontId="1" fillId="0" borderId="23" xfId="2" applyFont="1" applyBorder="1" applyAlignment="1">
      <alignment horizontal="center" vertical="center" wrapText="1"/>
    </xf>
    <xf numFmtId="0" fontId="1" fillId="0" borderId="25" xfId="2" applyFont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center" wrapText="1"/>
    </xf>
    <xf numFmtId="0" fontId="15" fillId="0" borderId="22" xfId="2" applyFont="1" applyBorder="1" applyAlignment="1">
      <alignment horizontal="center" vertical="center" wrapText="1"/>
    </xf>
    <xf numFmtId="0" fontId="15" fillId="0" borderId="14" xfId="2" applyFont="1" applyBorder="1" applyAlignment="1">
      <alignment horizontal="center" vertical="center" wrapText="1"/>
    </xf>
    <xf numFmtId="0" fontId="15" fillId="0" borderId="15" xfId="2" applyFont="1" applyBorder="1" applyAlignment="1">
      <alignment horizontal="center" vertical="center" wrapText="1"/>
    </xf>
    <xf numFmtId="0" fontId="15" fillId="0" borderId="2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0" fontId="15" fillId="0" borderId="3" xfId="2" applyFont="1" applyBorder="1" applyAlignment="1">
      <alignment horizontal="center" vertical="center" wrapText="1"/>
    </xf>
    <xf numFmtId="0" fontId="1" fillId="0" borderId="17" xfId="2" applyBorder="1" applyAlignment="1">
      <alignment horizontal="center" vertical="center" wrapText="1"/>
    </xf>
    <xf numFmtId="0" fontId="1" fillId="0" borderId="28" xfId="2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5" fillId="2" borderId="17" xfId="2" applyFont="1" applyFill="1" applyBorder="1" applyAlignment="1">
      <alignment horizontal="center" vertical="center"/>
    </xf>
    <xf numFmtId="0" fontId="5" fillId="2" borderId="28" xfId="2" applyFont="1" applyFill="1" applyBorder="1" applyAlignment="1">
      <alignment horizontal="center" vertical="center"/>
    </xf>
    <xf numFmtId="0" fontId="1" fillId="0" borderId="29" xfId="2" applyBorder="1" applyAlignment="1">
      <alignment horizontal="center" vertical="center" wrapText="1"/>
    </xf>
    <xf numFmtId="0" fontId="5" fillId="0" borderId="17" xfId="2" applyFont="1" applyBorder="1" applyAlignment="1">
      <alignment horizontal="center" vertical="center"/>
    </xf>
    <xf numFmtId="0" fontId="5" fillId="0" borderId="29" xfId="2" applyFont="1" applyBorder="1" applyAlignment="1">
      <alignment horizontal="center" vertical="center"/>
    </xf>
    <xf numFmtId="0" fontId="5" fillId="0" borderId="28" xfId="2" applyFont="1" applyBorder="1" applyAlignment="1">
      <alignment horizontal="center" vertical="center"/>
    </xf>
    <xf numFmtId="165" fontId="2" fillId="0" borderId="0" xfId="1" applyFont="1" applyFill="1" applyBorder="1" applyAlignment="1">
      <alignment horizontal="left"/>
    </xf>
    <xf numFmtId="0" fontId="8" fillId="0" borderId="6" xfId="0" applyFont="1" applyBorder="1" applyAlignment="1">
      <alignment horizontal="left" vertical="top"/>
    </xf>
    <xf numFmtId="0" fontId="8" fillId="0" borderId="1" xfId="0" applyFont="1" applyBorder="1" applyAlignment="1">
      <alignment horizontal="left" vertical="top"/>
    </xf>
    <xf numFmtId="0" fontId="5" fillId="0" borderId="7" xfId="2" applyFont="1" applyBorder="1" applyAlignment="1">
      <alignment horizontal="center" vertical="center" wrapText="1"/>
    </xf>
    <xf numFmtId="0" fontId="5" fillId="2" borderId="22" xfId="2" applyFont="1" applyFill="1" applyBorder="1" applyAlignment="1">
      <alignment horizontal="center" vertical="center" wrapText="1"/>
    </xf>
    <xf numFmtId="0" fontId="5" fillId="2" borderId="14" xfId="2" applyFont="1" applyFill="1" applyBorder="1" applyAlignment="1">
      <alignment horizontal="center" vertical="center" wrapText="1"/>
    </xf>
    <xf numFmtId="0" fontId="5" fillId="2" borderId="2" xfId="2" applyFont="1" applyFill="1" applyBorder="1" applyAlignment="1">
      <alignment horizontal="center" vertical="center" wrapText="1"/>
    </xf>
    <xf numFmtId="0" fontId="5" fillId="2" borderId="4" xfId="2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" fillId="0" borderId="7" xfId="2" applyBorder="1" applyAlignment="1">
      <alignment horizontal="center" vertical="center" wrapText="1"/>
    </xf>
    <xf numFmtId="0" fontId="19" fillId="0" borderId="6" xfId="0" applyFont="1" applyBorder="1" applyAlignment="1">
      <alignment horizontal="left" vertical="center" wrapText="1"/>
    </xf>
    <xf numFmtId="0" fontId="19" fillId="0" borderId="0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2" xfId="0" applyFont="1" applyBorder="1" applyAlignment="1">
      <alignment horizontal="left" vertical="center" wrapText="1"/>
    </xf>
    <xf numFmtId="0" fontId="19" fillId="0" borderId="4" xfId="0" applyFont="1" applyBorder="1" applyAlignment="1">
      <alignment horizontal="left" vertical="center" wrapText="1"/>
    </xf>
    <xf numFmtId="0" fontId="19" fillId="0" borderId="3" xfId="0" applyFont="1" applyBorder="1" applyAlignment="1">
      <alignment horizontal="left" vertical="center" wrapText="1"/>
    </xf>
    <xf numFmtId="0" fontId="0" fillId="0" borderId="6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23" fillId="0" borderId="23" xfId="2" applyFont="1" applyBorder="1" applyAlignment="1">
      <alignment horizontal="center" vertical="center" wrapText="1"/>
    </xf>
    <xf numFmtId="0" fontId="23" fillId="0" borderId="25" xfId="2" applyFont="1" applyBorder="1" applyAlignment="1">
      <alignment horizontal="center" vertical="center" wrapText="1"/>
    </xf>
    <xf numFmtId="0" fontId="23" fillId="0" borderId="10" xfId="2" applyFont="1" applyBorder="1" applyAlignment="1">
      <alignment horizontal="center" vertical="center" wrapText="1"/>
    </xf>
    <xf numFmtId="0" fontId="0" fillId="7" borderId="22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23" fillId="4" borderId="22" xfId="2" applyFont="1" applyFill="1" applyBorder="1" applyAlignment="1">
      <alignment horizontal="center" vertical="center"/>
    </xf>
    <xf numFmtId="0" fontId="23" fillId="4" borderId="14" xfId="2" applyFont="1" applyFill="1" applyBorder="1" applyAlignment="1">
      <alignment horizontal="center" vertical="center"/>
    </xf>
    <xf numFmtId="0" fontId="23" fillId="4" borderId="15" xfId="2" applyFont="1" applyFill="1" applyBorder="1" applyAlignment="1">
      <alignment horizontal="center" vertical="center"/>
    </xf>
    <xf numFmtId="0" fontId="23" fillId="4" borderId="2" xfId="2" applyFont="1" applyFill="1" applyBorder="1" applyAlignment="1">
      <alignment horizontal="center" vertical="center"/>
    </xf>
    <xf numFmtId="0" fontId="23" fillId="4" borderId="4" xfId="2" applyFont="1" applyFill="1" applyBorder="1" applyAlignment="1">
      <alignment horizontal="center" vertical="center"/>
    </xf>
    <xf numFmtId="0" fontId="23" fillId="4" borderId="3" xfId="2" applyFont="1" applyFill="1" applyBorder="1" applyAlignment="1">
      <alignment horizontal="center" vertical="center"/>
    </xf>
    <xf numFmtId="0" fontId="22" fillId="0" borderId="23" xfId="2" applyFont="1" applyBorder="1" applyAlignment="1">
      <alignment horizontal="center" vertical="center" wrapText="1"/>
    </xf>
    <xf numFmtId="0" fontId="22" fillId="0" borderId="10" xfId="2" applyFont="1" applyBorder="1" applyAlignment="1">
      <alignment horizontal="center" vertical="center" wrapText="1"/>
    </xf>
  </cellXfs>
  <cellStyles count="4">
    <cellStyle name="Binlik Ayracı 2" xfId="1"/>
    <cellStyle name="Normal" xfId="0" builtinId="0"/>
    <cellStyle name="Normal 2" xfId="2"/>
    <cellStyle name="Virgül" xfId="3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581025</xdr:colOff>
      <xdr:row>31</xdr:row>
      <xdr:rowOff>9525</xdr:rowOff>
    </xdr:from>
    <xdr:to>
      <xdr:col>2</xdr:col>
      <xdr:colOff>762000</xdr:colOff>
      <xdr:row>31</xdr:row>
      <xdr:rowOff>171450</xdr:rowOff>
    </xdr:to>
    <xdr:sp macro="" textlink="">
      <xdr:nvSpPr>
        <xdr:cNvPr id="2" name="1 Dikdörtgen"/>
        <xdr:cNvSpPr/>
      </xdr:nvSpPr>
      <xdr:spPr>
        <a:xfrm>
          <a:off x="3533775" y="8562975"/>
          <a:ext cx="1809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tr-TR"/>
        </a:p>
      </xdr:txBody>
    </xdr:sp>
    <xdr:clientData/>
  </xdr:twoCellAnchor>
  <xdr:twoCellAnchor>
    <xdr:from>
      <xdr:col>2</xdr:col>
      <xdr:colOff>590550</xdr:colOff>
      <xdr:row>33</xdr:row>
      <xdr:rowOff>19050</xdr:rowOff>
    </xdr:from>
    <xdr:to>
      <xdr:col>2</xdr:col>
      <xdr:colOff>771525</xdr:colOff>
      <xdr:row>33</xdr:row>
      <xdr:rowOff>180975</xdr:rowOff>
    </xdr:to>
    <xdr:sp macro="" textlink="">
      <xdr:nvSpPr>
        <xdr:cNvPr id="3" name="2 Dikdörtgen"/>
        <xdr:cNvSpPr/>
      </xdr:nvSpPr>
      <xdr:spPr>
        <a:xfrm>
          <a:off x="3543300" y="8953500"/>
          <a:ext cx="1809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tr-TR"/>
        </a:p>
      </xdr:txBody>
    </xdr:sp>
    <xdr:clientData/>
  </xdr:twoCellAnchor>
  <xdr:twoCellAnchor>
    <xdr:from>
      <xdr:col>2</xdr:col>
      <xdr:colOff>561975</xdr:colOff>
      <xdr:row>86</xdr:row>
      <xdr:rowOff>9525</xdr:rowOff>
    </xdr:from>
    <xdr:to>
      <xdr:col>2</xdr:col>
      <xdr:colOff>742950</xdr:colOff>
      <xdr:row>86</xdr:row>
      <xdr:rowOff>171450</xdr:rowOff>
    </xdr:to>
    <xdr:sp macro="" textlink="">
      <xdr:nvSpPr>
        <xdr:cNvPr id="4" name="3 Dikdörtgen"/>
        <xdr:cNvSpPr/>
      </xdr:nvSpPr>
      <xdr:spPr>
        <a:xfrm>
          <a:off x="3514725" y="16230600"/>
          <a:ext cx="1809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tr-TR"/>
        </a:p>
      </xdr:txBody>
    </xdr:sp>
    <xdr:clientData/>
  </xdr:twoCellAnchor>
  <xdr:twoCellAnchor>
    <xdr:from>
      <xdr:col>2</xdr:col>
      <xdr:colOff>561975</xdr:colOff>
      <xdr:row>88</xdr:row>
      <xdr:rowOff>0</xdr:rowOff>
    </xdr:from>
    <xdr:to>
      <xdr:col>2</xdr:col>
      <xdr:colOff>742950</xdr:colOff>
      <xdr:row>88</xdr:row>
      <xdr:rowOff>161925</xdr:rowOff>
    </xdr:to>
    <xdr:sp macro="" textlink="">
      <xdr:nvSpPr>
        <xdr:cNvPr id="5" name="4 Dikdörtgen"/>
        <xdr:cNvSpPr/>
      </xdr:nvSpPr>
      <xdr:spPr>
        <a:xfrm>
          <a:off x="3514725" y="16602075"/>
          <a:ext cx="1809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tr-TR"/>
        </a:p>
      </xdr:txBody>
    </xdr:sp>
    <xdr:clientData/>
  </xdr:twoCellAnchor>
  <xdr:twoCellAnchor>
    <xdr:from>
      <xdr:col>2</xdr:col>
      <xdr:colOff>561975</xdr:colOff>
      <xdr:row>57</xdr:row>
      <xdr:rowOff>9525</xdr:rowOff>
    </xdr:from>
    <xdr:to>
      <xdr:col>2</xdr:col>
      <xdr:colOff>742950</xdr:colOff>
      <xdr:row>57</xdr:row>
      <xdr:rowOff>171450</xdr:rowOff>
    </xdr:to>
    <xdr:sp macro="" textlink="">
      <xdr:nvSpPr>
        <xdr:cNvPr id="8" name="3 Dikdörtgen"/>
        <xdr:cNvSpPr/>
      </xdr:nvSpPr>
      <xdr:spPr>
        <a:xfrm>
          <a:off x="3514725" y="32811244"/>
          <a:ext cx="1809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tr-TR"/>
        </a:p>
      </xdr:txBody>
    </xdr:sp>
    <xdr:clientData/>
  </xdr:twoCellAnchor>
  <xdr:twoCellAnchor>
    <xdr:from>
      <xdr:col>2</xdr:col>
      <xdr:colOff>561975</xdr:colOff>
      <xdr:row>59</xdr:row>
      <xdr:rowOff>0</xdr:rowOff>
    </xdr:from>
    <xdr:to>
      <xdr:col>2</xdr:col>
      <xdr:colOff>742950</xdr:colOff>
      <xdr:row>59</xdr:row>
      <xdr:rowOff>161925</xdr:rowOff>
    </xdr:to>
    <xdr:sp macro="" textlink="">
      <xdr:nvSpPr>
        <xdr:cNvPr id="9" name="4 Dikdörtgen"/>
        <xdr:cNvSpPr/>
      </xdr:nvSpPr>
      <xdr:spPr>
        <a:xfrm>
          <a:off x="3514725" y="33182719"/>
          <a:ext cx="1809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tr-TR"/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90"/>
  <sheetViews>
    <sheetView tabSelected="1" zoomScale="90" zoomScaleNormal="90" zoomScaleSheetLayoutView="70" workbookViewId="0">
      <selection activeCell="B6" sqref="B6"/>
    </sheetView>
  </sheetViews>
  <sheetFormatPr defaultRowHeight="15" x14ac:dyDescent="0.25"/>
  <cols>
    <col min="1" max="1" width="27.85546875" customWidth="1"/>
    <col min="2" max="2" width="21.5703125" customWidth="1"/>
    <col min="3" max="3" width="18" customWidth="1"/>
    <col min="4" max="4" width="14" customWidth="1"/>
    <col min="5" max="5" width="21.42578125" customWidth="1"/>
    <col min="6" max="6" width="14" customWidth="1"/>
    <col min="7" max="7" width="23.5703125" customWidth="1"/>
    <col min="8" max="8" width="14" customWidth="1"/>
    <col min="9" max="9" width="21.5703125" customWidth="1"/>
    <col min="10" max="10" width="39.85546875" customWidth="1"/>
    <col min="11" max="11" width="22.7109375" customWidth="1"/>
    <col min="12" max="12" width="13.7109375" customWidth="1"/>
    <col min="13" max="13" width="22" customWidth="1"/>
    <col min="14" max="14" width="14" customWidth="1"/>
    <col min="15" max="15" width="12.5703125" customWidth="1"/>
    <col min="16" max="16" width="20.5703125" customWidth="1"/>
    <col min="17" max="17" width="10.7109375" customWidth="1"/>
    <col min="18" max="18" width="11.7109375" customWidth="1"/>
  </cols>
  <sheetData>
    <row r="1" spans="1:18" ht="19.5" x14ac:dyDescent="0.25">
      <c r="A1" s="52" t="s">
        <v>31</v>
      </c>
      <c r="B1" s="98" t="s">
        <v>32</v>
      </c>
      <c r="C1" s="53"/>
      <c r="D1" s="53"/>
      <c r="E1" s="53"/>
      <c r="F1" s="53"/>
      <c r="G1" s="53"/>
      <c r="H1" s="53"/>
      <c r="I1" s="53"/>
      <c r="J1" s="99" t="s">
        <v>97</v>
      </c>
    </row>
    <row r="2" spans="1:18" ht="9" customHeight="1" x14ac:dyDescent="0.25">
      <c r="A2" s="1"/>
      <c r="B2" s="7"/>
      <c r="C2" s="1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x14ac:dyDescent="0.25">
      <c r="A3" s="178" t="s">
        <v>67</v>
      </c>
      <c r="B3" s="179"/>
      <c r="C3" s="179"/>
      <c r="D3" s="179"/>
      <c r="E3" s="179"/>
      <c r="F3" s="179"/>
      <c r="G3" s="179"/>
      <c r="H3" s="179"/>
      <c r="I3" s="179"/>
      <c r="J3" s="180"/>
      <c r="K3" s="1"/>
      <c r="L3" s="1"/>
      <c r="M3" s="1"/>
      <c r="N3" s="1"/>
      <c r="O3" s="1"/>
      <c r="P3" s="1"/>
      <c r="Q3" s="1"/>
      <c r="R3" s="1"/>
    </row>
    <row r="4" spans="1:18" ht="14.25" customHeight="1" x14ac:dyDescent="0.25">
      <c r="A4" s="181"/>
      <c r="B4" s="182"/>
      <c r="C4" s="182"/>
      <c r="D4" s="182"/>
      <c r="E4" s="182"/>
      <c r="F4" s="182"/>
      <c r="G4" s="182"/>
      <c r="H4" s="182"/>
      <c r="I4" s="182"/>
      <c r="J4" s="183"/>
      <c r="K4" s="1"/>
      <c r="L4" s="1"/>
      <c r="M4" s="1"/>
      <c r="N4" s="1"/>
      <c r="O4" s="1"/>
      <c r="P4" s="1"/>
      <c r="Q4" s="1"/>
      <c r="R4" s="1"/>
    </row>
    <row r="5" spans="1:18" ht="10.5" customHeight="1" x14ac:dyDescent="0.25">
      <c r="A5" s="94"/>
      <c r="B5" s="94"/>
      <c r="C5" s="94"/>
      <c r="D5" s="94"/>
    </row>
    <row r="6" spans="1:18" s="54" customFormat="1" ht="14.25" customHeight="1" x14ac:dyDescent="0.25">
      <c r="A6" s="124" t="s">
        <v>34</v>
      </c>
      <c r="C6" s="55" t="s">
        <v>35</v>
      </c>
      <c r="D6" s="56"/>
      <c r="F6" s="163" t="s">
        <v>36</v>
      </c>
      <c r="G6" s="164"/>
      <c r="I6"/>
      <c r="J6"/>
      <c r="K6"/>
      <c r="L6"/>
      <c r="M6"/>
      <c r="N6"/>
      <c r="O6"/>
      <c r="P6"/>
      <c r="Q6"/>
    </row>
    <row r="7" spans="1:18" s="54" customFormat="1" x14ac:dyDescent="0.25">
      <c r="A7" s="125"/>
      <c r="C7" s="165"/>
      <c r="D7" s="166"/>
      <c r="F7" s="194"/>
      <c r="G7" s="195"/>
      <c r="I7"/>
      <c r="J7"/>
      <c r="K7"/>
      <c r="L7"/>
      <c r="M7"/>
      <c r="N7"/>
      <c r="O7"/>
      <c r="P7"/>
      <c r="Q7"/>
    </row>
    <row r="8" spans="1:18" s="54" customFormat="1" ht="15" customHeight="1" x14ac:dyDescent="0.25">
      <c r="A8" s="125" t="str">
        <f>"Tarih:"&amp;TEXT(HazirlamaTarihi,"gg.aa.yyyy")</f>
        <v>Tarih:00.01.1900</v>
      </c>
      <c r="B8" s="119"/>
      <c r="C8" s="167" t="str">
        <f>A8</f>
        <v>Tarih:00.01.1900</v>
      </c>
      <c r="D8" s="168"/>
      <c r="F8" s="167" t="str">
        <f>C8</f>
        <v>Tarih:00.01.1900</v>
      </c>
      <c r="G8" s="168"/>
      <c r="I8"/>
      <c r="J8" s="100"/>
      <c r="K8"/>
      <c r="L8"/>
      <c r="M8"/>
      <c r="N8"/>
      <c r="O8"/>
      <c r="P8"/>
      <c r="Q8"/>
    </row>
    <row r="9" spans="1:18" s="54" customFormat="1" ht="33" customHeight="1" x14ac:dyDescent="0.25">
      <c r="A9" s="126" t="s">
        <v>37</v>
      </c>
      <c r="B9" s="118"/>
      <c r="C9" s="106" t="s">
        <v>37</v>
      </c>
      <c r="D9" s="104"/>
      <c r="E9" s="103"/>
      <c r="F9" s="106" t="s">
        <v>37</v>
      </c>
      <c r="G9" s="107"/>
      <c r="I9"/>
      <c r="J9"/>
      <c r="K9"/>
      <c r="L9"/>
      <c r="M9"/>
      <c r="N9"/>
      <c r="O9"/>
      <c r="P9"/>
      <c r="Q9"/>
    </row>
    <row r="10" spans="1:18" ht="8.25" customHeight="1" x14ac:dyDescent="0.25">
      <c r="A10" s="7"/>
      <c r="B10" s="18"/>
      <c r="C10" s="7"/>
      <c r="D10" s="7"/>
      <c r="E10" s="18"/>
      <c r="F10" s="7"/>
      <c r="G10" s="7"/>
      <c r="H10" s="18"/>
      <c r="L10" s="1"/>
      <c r="M10" s="1"/>
      <c r="N10" s="1"/>
      <c r="O10" s="1"/>
      <c r="P10" s="1"/>
      <c r="Q10" s="1"/>
      <c r="R10" s="7"/>
    </row>
    <row r="11" spans="1:18" ht="18" x14ac:dyDescent="0.25">
      <c r="A11" s="12" t="s">
        <v>38</v>
      </c>
      <c r="B11" s="1"/>
      <c r="C11" s="1"/>
      <c r="D11" s="1"/>
      <c r="E11" s="1"/>
      <c r="F11" s="1"/>
      <c r="G11" s="1"/>
      <c r="H11" s="2" t="s">
        <v>98</v>
      </c>
      <c r="I11" s="193"/>
      <c r="J11" s="193"/>
      <c r="K11" s="1"/>
      <c r="L11" s="1"/>
      <c r="M11" s="1"/>
      <c r="N11" s="1"/>
      <c r="O11" s="1"/>
      <c r="P11" s="1"/>
      <c r="Q11" s="1"/>
      <c r="R11" s="1"/>
    </row>
    <row r="12" spans="1:18" ht="8.25" customHeight="1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ht="15" customHeight="1" x14ac:dyDescent="0.25">
      <c r="A13" s="33"/>
      <c r="B13" s="161" t="s">
        <v>42</v>
      </c>
      <c r="C13" s="162"/>
      <c r="D13" s="161" t="s">
        <v>43</v>
      </c>
      <c r="E13" s="169"/>
      <c r="F13" s="169"/>
      <c r="G13" s="162"/>
      <c r="H13" s="187" t="s">
        <v>44</v>
      </c>
      <c r="I13" s="188"/>
      <c r="J13" s="186" t="s">
        <v>45</v>
      </c>
      <c r="K13" s="36"/>
      <c r="L13" s="36"/>
      <c r="M13" s="36"/>
      <c r="N13" s="36"/>
      <c r="O13" s="36"/>
      <c r="P13" s="36"/>
      <c r="Q13" s="36"/>
      <c r="R13" s="36"/>
    </row>
    <row r="14" spans="1:18" ht="24" customHeight="1" x14ac:dyDescent="0.25">
      <c r="A14" s="37"/>
      <c r="B14" s="38" t="s">
        <v>46</v>
      </c>
      <c r="C14" s="38" t="s">
        <v>47</v>
      </c>
      <c r="D14" s="184" t="s">
        <v>46</v>
      </c>
      <c r="E14" s="185"/>
      <c r="F14" s="184" t="s">
        <v>47</v>
      </c>
      <c r="G14" s="185"/>
      <c r="H14" s="57" t="s">
        <v>46</v>
      </c>
      <c r="I14" s="58" t="s">
        <v>47</v>
      </c>
      <c r="J14" s="186"/>
      <c r="K14" s="36"/>
      <c r="L14" s="36"/>
      <c r="M14" s="36"/>
      <c r="N14" s="36"/>
      <c r="O14" s="36"/>
      <c r="P14" s="36"/>
      <c r="Q14" s="36"/>
      <c r="R14" s="36"/>
    </row>
    <row r="15" spans="1:18" x14ac:dyDescent="0.25">
      <c r="A15" s="34" t="s">
        <v>52</v>
      </c>
      <c r="B15" s="59" t="s">
        <v>48</v>
      </c>
      <c r="C15" s="59" t="s">
        <v>48</v>
      </c>
      <c r="D15" s="60" t="s">
        <v>49</v>
      </c>
      <c r="E15" s="59" t="s">
        <v>48</v>
      </c>
      <c r="F15" s="60" t="s">
        <v>49</v>
      </c>
      <c r="G15" s="59" t="s">
        <v>48</v>
      </c>
      <c r="H15" s="58" t="s">
        <v>48</v>
      </c>
      <c r="I15" s="58" t="s">
        <v>48</v>
      </c>
      <c r="J15" s="186"/>
      <c r="K15" s="36"/>
      <c r="L15" s="36"/>
      <c r="M15" s="87"/>
      <c r="N15" s="87"/>
      <c r="O15" s="87"/>
      <c r="P15" s="87"/>
      <c r="Q15" s="87"/>
      <c r="R15" s="87"/>
    </row>
    <row r="16" spans="1:18" ht="15.75" thickBot="1" x14ac:dyDescent="0.3">
      <c r="A16" s="13" t="s">
        <v>0</v>
      </c>
      <c r="B16" s="14" t="s">
        <v>1</v>
      </c>
      <c r="C16" s="14" t="s">
        <v>2</v>
      </c>
      <c r="D16" s="14" t="s">
        <v>3</v>
      </c>
      <c r="E16" s="14" t="s">
        <v>4</v>
      </c>
      <c r="F16" s="14" t="s">
        <v>5</v>
      </c>
      <c r="G16" s="14" t="s">
        <v>6</v>
      </c>
      <c r="H16" s="16" t="s">
        <v>7</v>
      </c>
      <c r="I16" s="16" t="s">
        <v>8</v>
      </c>
      <c r="J16" s="14" t="s">
        <v>9</v>
      </c>
      <c r="K16" s="1"/>
      <c r="L16" s="1"/>
      <c r="M16" s="51"/>
      <c r="N16" s="51"/>
      <c r="O16" s="51"/>
      <c r="P16" s="51"/>
      <c r="Q16" s="88"/>
      <c r="R16" s="89"/>
    </row>
    <row r="17" spans="1:18" ht="45.75" hidden="1" thickBot="1" x14ac:dyDescent="0.3">
      <c r="A17" s="8" t="s">
        <v>39</v>
      </c>
      <c r="B17" s="47" t="s">
        <v>40</v>
      </c>
      <c r="C17" s="47" t="s">
        <v>40</v>
      </c>
      <c r="D17" s="15"/>
      <c r="E17" s="32" t="s">
        <v>41</v>
      </c>
      <c r="F17" s="15"/>
      <c r="G17" s="32" t="s">
        <v>41</v>
      </c>
      <c r="H17" s="61" t="s">
        <v>51</v>
      </c>
      <c r="I17" s="61" t="s">
        <v>51</v>
      </c>
      <c r="J17" s="46" t="s">
        <v>53</v>
      </c>
      <c r="K17" s="1"/>
      <c r="L17" s="1"/>
      <c r="M17" s="86"/>
      <c r="N17" s="86"/>
      <c r="O17" s="51"/>
      <c r="P17" s="86"/>
      <c r="Q17" s="86"/>
      <c r="R17" s="89"/>
    </row>
    <row r="18" spans="1:18" ht="30" customHeight="1" x14ac:dyDescent="0.25">
      <c r="A18" s="95" t="s">
        <v>54</v>
      </c>
      <c r="B18" s="150"/>
      <c r="C18" s="150"/>
      <c r="D18" s="151"/>
      <c r="E18" s="129"/>
      <c r="F18" s="151"/>
      <c r="G18" s="129"/>
      <c r="H18" s="92">
        <f>B18-E18</f>
        <v>0</v>
      </c>
      <c r="I18" s="92">
        <f>C18-G18</f>
        <v>0</v>
      </c>
      <c r="J18" s="120"/>
      <c r="K18" s="121"/>
      <c r="L18" s="121"/>
      <c r="M18" s="86"/>
      <c r="N18" s="86"/>
      <c r="O18" s="51"/>
      <c r="P18" s="86"/>
      <c r="Q18" s="86"/>
      <c r="R18" s="89"/>
    </row>
    <row r="19" spans="1:18" ht="30" customHeight="1" x14ac:dyDescent="0.25">
      <c r="A19" s="113" t="s">
        <v>60</v>
      </c>
      <c r="B19" s="127"/>
      <c r="C19" s="127"/>
      <c r="D19" s="151"/>
      <c r="E19" s="152"/>
      <c r="F19" s="151"/>
      <c r="G19" s="129"/>
      <c r="H19" s="92">
        <f t="shared" ref="H19:H24" si="0">B19-E19</f>
        <v>0</v>
      </c>
      <c r="I19" s="92">
        <f t="shared" ref="I19:I24" si="1">C19-G19</f>
        <v>0</v>
      </c>
      <c r="J19" s="137"/>
      <c r="K19" s="121"/>
      <c r="L19" s="36"/>
      <c r="M19" s="86"/>
      <c r="N19" s="86"/>
      <c r="O19" s="51"/>
      <c r="P19" s="86"/>
      <c r="Q19" s="86"/>
      <c r="R19" s="89"/>
    </row>
    <row r="20" spans="1:18" ht="37.5" customHeight="1" x14ac:dyDescent="0.25">
      <c r="A20" s="114" t="s">
        <v>55</v>
      </c>
      <c r="B20" s="150"/>
      <c r="C20" s="150"/>
      <c r="D20" s="151"/>
      <c r="E20" s="129"/>
      <c r="F20" s="151"/>
      <c r="G20" s="129"/>
      <c r="H20" s="92">
        <f t="shared" si="0"/>
        <v>0</v>
      </c>
      <c r="I20" s="92">
        <f t="shared" si="1"/>
        <v>0</v>
      </c>
      <c r="J20" s="120"/>
      <c r="K20" s="108"/>
      <c r="L20" s="108"/>
      <c r="M20" s="86"/>
      <c r="N20" s="86"/>
      <c r="O20" s="51"/>
      <c r="P20" s="86"/>
      <c r="Q20" s="86"/>
      <c r="R20" s="89"/>
    </row>
    <row r="21" spans="1:18" ht="37.5" customHeight="1" x14ac:dyDescent="0.25">
      <c r="A21" s="114" t="s">
        <v>56</v>
      </c>
      <c r="B21" s="127"/>
      <c r="C21" s="127"/>
      <c r="D21" s="151"/>
      <c r="E21" s="153"/>
      <c r="F21" s="151"/>
      <c r="G21" s="129"/>
      <c r="H21" s="92">
        <f t="shared" si="0"/>
        <v>0</v>
      </c>
      <c r="I21" s="92">
        <f t="shared" si="1"/>
        <v>0</v>
      </c>
      <c r="J21" s="120"/>
      <c r="K21" s="108"/>
      <c r="L21" s="1"/>
      <c r="M21" s="90"/>
      <c r="N21" s="90"/>
      <c r="O21" s="51"/>
      <c r="P21" s="90"/>
      <c r="Q21" s="90"/>
      <c r="R21" s="89"/>
    </row>
    <row r="22" spans="1:18" ht="37.5" customHeight="1" x14ac:dyDescent="0.25">
      <c r="A22" s="114" t="s">
        <v>57</v>
      </c>
      <c r="B22" s="127"/>
      <c r="C22" s="127"/>
      <c r="D22" s="151"/>
      <c r="E22" s="153"/>
      <c r="F22" s="151"/>
      <c r="G22" s="129"/>
      <c r="H22" s="92">
        <f t="shared" si="0"/>
        <v>0</v>
      </c>
      <c r="I22" s="92">
        <f t="shared" si="1"/>
        <v>0</v>
      </c>
      <c r="J22" s="138"/>
      <c r="K22" s="108"/>
      <c r="L22" s="1"/>
      <c r="M22" s="91"/>
      <c r="N22" s="91"/>
      <c r="O22" s="51"/>
      <c r="P22" s="90"/>
      <c r="Q22" s="89"/>
      <c r="R22" s="89"/>
    </row>
    <row r="23" spans="1:18" ht="30" customHeight="1" x14ac:dyDescent="0.25">
      <c r="A23" s="114" t="s">
        <v>58</v>
      </c>
      <c r="B23" s="150"/>
      <c r="C23" s="150"/>
      <c r="D23" s="151"/>
      <c r="E23" s="129"/>
      <c r="F23" s="151"/>
      <c r="G23" s="129"/>
      <c r="H23" s="92">
        <f t="shared" si="0"/>
        <v>0</v>
      </c>
      <c r="I23" s="92">
        <f t="shared" si="1"/>
        <v>0</v>
      </c>
      <c r="J23" s="109"/>
      <c r="K23" s="108"/>
      <c r="L23" s="108"/>
      <c r="M23" s="86"/>
      <c r="N23" s="86"/>
      <c r="O23" s="51"/>
      <c r="P23" s="51"/>
      <c r="Q23" s="89"/>
      <c r="R23" s="89"/>
    </row>
    <row r="24" spans="1:18" ht="30" customHeight="1" thickBot="1" x14ac:dyDescent="0.3">
      <c r="A24" s="115" t="s">
        <v>59</v>
      </c>
      <c r="B24" s="150"/>
      <c r="C24" s="150"/>
      <c r="D24" s="151"/>
      <c r="E24" s="129"/>
      <c r="F24" s="151"/>
      <c r="G24" s="129"/>
      <c r="H24" s="105">
        <f t="shared" si="0"/>
        <v>0</v>
      </c>
      <c r="I24" s="105">
        <f t="shared" si="1"/>
        <v>0</v>
      </c>
      <c r="J24" s="139"/>
      <c r="K24" s="1"/>
      <c r="L24" s="1"/>
      <c r="M24" s="86"/>
      <c r="N24" s="86"/>
      <c r="O24" s="51"/>
      <c r="P24" s="51"/>
      <c r="Q24" s="89"/>
      <c r="R24" s="89"/>
    </row>
    <row r="25" spans="1:18" ht="30" customHeight="1" thickBot="1" x14ac:dyDescent="0.3">
      <c r="A25" s="132" t="s">
        <v>50</v>
      </c>
      <c r="B25" s="128">
        <f>SUM(B18:B24)</f>
        <v>0</v>
      </c>
      <c r="C25" s="128">
        <f>SUM(C18:C24)</f>
        <v>0</v>
      </c>
      <c r="D25" s="148"/>
      <c r="E25" s="130">
        <f>SUM(E18:E24)</f>
        <v>0</v>
      </c>
      <c r="F25" s="148"/>
      <c r="G25" s="130">
        <f>SUM(G18:G24)</f>
        <v>0</v>
      </c>
      <c r="H25" s="136">
        <f>B25-E25</f>
        <v>0</v>
      </c>
      <c r="I25" s="136">
        <f>C25-G25</f>
        <v>0</v>
      </c>
      <c r="J25" s="140"/>
      <c r="K25" s="1"/>
      <c r="L25" s="1"/>
      <c r="M25" s="86"/>
      <c r="N25" s="86"/>
      <c r="O25" s="51"/>
      <c r="P25" s="51"/>
      <c r="Q25" s="89"/>
      <c r="R25" s="89"/>
    </row>
    <row r="26" spans="1:18" ht="10.5" customHeight="1" x14ac:dyDescent="0.25">
      <c r="A26" s="49"/>
      <c r="B26" s="51"/>
      <c r="C26" s="51"/>
      <c r="D26" s="51"/>
      <c r="E26" s="51"/>
      <c r="F26" s="51"/>
      <c r="G26" s="1"/>
      <c r="H26" s="1"/>
      <c r="I26" s="1"/>
      <c r="J26" s="1"/>
      <c r="M26" s="86"/>
      <c r="N26" s="86"/>
      <c r="O26" s="89"/>
      <c r="P26" s="89"/>
      <c r="Q26" s="89"/>
      <c r="R26" s="89"/>
    </row>
    <row r="27" spans="1:18" ht="16.5" x14ac:dyDescent="0.3">
      <c r="A27" s="63" t="s">
        <v>62</v>
      </c>
      <c r="B27" s="19"/>
      <c r="C27" s="19"/>
      <c r="D27" s="19"/>
      <c r="E27" s="19"/>
      <c r="F27" s="65" t="s">
        <v>64</v>
      </c>
      <c r="G27" s="20"/>
      <c r="H27" s="20"/>
      <c r="I27" s="20"/>
      <c r="J27" s="21"/>
      <c r="K27" s="1"/>
      <c r="L27" s="1"/>
      <c r="M27" s="1"/>
      <c r="N27" s="1"/>
      <c r="O27" s="1"/>
      <c r="P27" s="1"/>
    </row>
    <row r="28" spans="1:18" ht="16.5" x14ac:dyDescent="0.3">
      <c r="A28" s="155"/>
      <c r="B28" s="156"/>
      <c r="C28" s="156"/>
      <c r="D28" s="156"/>
      <c r="E28" s="157"/>
      <c r="F28" s="23"/>
      <c r="G28" s="24"/>
      <c r="H28" s="24"/>
      <c r="I28" s="24"/>
      <c r="J28" s="25"/>
      <c r="K28" s="1"/>
      <c r="L28" s="1"/>
      <c r="M28" s="1"/>
      <c r="N28" s="1"/>
      <c r="O28" s="1"/>
      <c r="P28" s="1"/>
    </row>
    <row r="29" spans="1:18" ht="18.75" customHeight="1" x14ac:dyDescent="0.25">
      <c r="A29" s="158"/>
      <c r="B29" s="159"/>
      <c r="C29" s="159"/>
      <c r="D29" s="159"/>
      <c r="E29" s="160"/>
      <c r="F29" s="28"/>
      <c r="G29" s="29"/>
      <c r="H29" s="29"/>
      <c r="I29" s="29"/>
      <c r="J29" s="30"/>
    </row>
    <row r="30" spans="1:18" ht="8.25" customHeight="1" x14ac:dyDescent="0.25">
      <c r="K30" s="1"/>
      <c r="L30" s="93" t="s">
        <v>95</v>
      </c>
      <c r="M30" s="93"/>
      <c r="N30" s="93" t="s">
        <v>96</v>
      </c>
      <c r="O30" s="93"/>
      <c r="P30" s="93"/>
      <c r="Q30" s="1"/>
      <c r="R30" s="1"/>
    </row>
    <row r="31" spans="1:18" ht="16.5" x14ac:dyDescent="0.3">
      <c r="A31" s="65" t="s">
        <v>65</v>
      </c>
      <c r="B31" s="66" t="s">
        <v>66</v>
      </c>
      <c r="C31" s="31"/>
      <c r="D31" s="1"/>
      <c r="E31" s="1"/>
      <c r="F31" s="1"/>
      <c r="G31" s="1"/>
      <c r="H31" s="1"/>
      <c r="I31" s="1"/>
      <c r="J31" s="1"/>
      <c r="K31" s="1"/>
      <c r="L31" s="93">
        <v>0</v>
      </c>
      <c r="M31" s="93">
        <v>0</v>
      </c>
      <c r="N31" s="93">
        <v>2116.19</v>
      </c>
      <c r="O31" s="93">
        <v>91.84</v>
      </c>
      <c r="P31" s="93"/>
      <c r="Q31" s="1"/>
      <c r="R31" s="1"/>
    </row>
    <row r="32" spans="1:18" x14ac:dyDescent="0.25">
      <c r="A32" s="67" t="s">
        <v>68</v>
      </c>
      <c r="B32" s="9"/>
      <c r="C32" s="3"/>
      <c r="D32" s="1"/>
      <c r="E32" s="1"/>
      <c r="F32" s="1"/>
      <c r="G32" s="1"/>
      <c r="H32" s="1"/>
      <c r="I32" s="1"/>
      <c r="J32" s="1"/>
      <c r="K32" s="1"/>
      <c r="L32" s="93">
        <v>953.74</v>
      </c>
      <c r="M32" s="93">
        <v>41.4</v>
      </c>
      <c r="N32" s="93">
        <v>317.91000000000003</v>
      </c>
      <c r="O32" s="93">
        <v>13.8</v>
      </c>
      <c r="P32" s="93"/>
      <c r="Q32" s="1"/>
      <c r="R32" s="1"/>
    </row>
    <row r="33" spans="1:19" ht="5.25" customHeight="1" x14ac:dyDescent="0.25">
      <c r="A33" s="10"/>
      <c r="B33" s="9"/>
      <c r="C33" s="3"/>
      <c r="D33" s="1"/>
      <c r="E33" s="1"/>
      <c r="F33" s="1"/>
      <c r="G33" s="1"/>
      <c r="H33" s="1"/>
      <c r="I33" s="1"/>
      <c r="J33" s="1"/>
      <c r="K33" s="1"/>
      <c r="L33" s="93">
        <v>73.55</v>
      </c>
      <c r="M33" s="93">
        <v>0</v>
      </c>
      <c r="N33" s="93">
        <v>24.51</v>
      </c>
      <c r="O33" s="93">
        <v>0</v>
      </c>
      <c r="P33" s="93"/>
      <c r="Q33" s="1"/>
      <c r="R33" s="1"/>
    </row>
    <row r="34" spans="1:19" x14ac:dyDescent="0.25">
      <c r="A34" s="68" t="s">
        <v>75</v>
      </c>
      <c r="B34" s="9"/>
      <c r="C34" s="3"/>
      <c r="D34" s="1"/>
      <c r="E34" s="1"/>
      <c r="F34" s="1"/>
      <c r="G34" s="1"/>
      <c r="H34" s="1"/>
      <c r="I34" s="1"/>
      <c r="J34" s="1"/>
      <c r="K34" s="1"/>
      <c r="L34" s="93"/>
      <c r="M34" s="93"/>
      <c r="N34" s="93"/>
      <c r="O34" s="93"/>
      <c r="P34" s="93"/>
      <c r="Q34" s="1"/>
      <c r="R34" s="1"/>
    </row>
    <row r="35" spans="1:19" x14ac:dyDescent="0.25">
      <c r="A35" s="4"/>
      <c r="B35" s="6"/>
      <c r="C35" s="5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19" x14ac:dyDescent="0.25">
      <c r="A36" s="62" t="s">
        <v>61</v>
      </c>
      <c r="B36" s="44"/>
      <c r="C36" s="44"/>
      <c r="D36" s="44"/>
      <c r="E36" s="44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1:19" ht="15" customHeight="1" x14ac:dyDescent="0.25">
      <c r="A37" s="43" t="s">
        <v>33</v>
      </c>
      <c r="B37" s="1"/>
      <c r="C37" s="1"/>
      <c r="D37" s="1"/>
      <c r="E37" s="1"/>
      <c r="F37" s="1"/>
      <c r="G37" s="1"/>
      <c r="H37" s="1"/>
      <c r="I37" s="1"/>
      <c r="J37" s="1"/>
    </row>
    <row r="38" spans="1:19" ht="15" customHeight="1" x14ac:dyDescent="0.25">
      <c r="A38" s="41"/>
      <c r="B38" s="161" t="s">
        <v>42</v>
      </c>
      <c r="C38" s="162"/>
      <c r="D38" s="161" t="s">
        <v>43</v>
      </c>
      <c r="E38" s="169"/>
      <c r="F38" s="169"/>
      <c r="G38" s="162"/>
      <c r="H38" s="197" t="s">
        <v>44</v>
      </c>
      <c r="I38" s="198"/>
      <c r="J38" s="190" t="s">
        <v>43</v>
      </c>
      <c r="K38" s="191"/>
      <c r="L38" s="191"/>
      <c r="M38" s="192"/>
      <c r="N38" s="197" t="s">
        <v>44</v>
      </c>
      <c r="O38" s="198"/>
      <c r="P38" s="230" t="s">
        <v>45</v>
      </c>
    </row>
    <row r="39" spans="1:19" ht="25.5" customHeight="1" x14ac:dyDescent="0.25">
      <c r="A39" s="42"/>
      <c r="B39" s="204" t="s">
        <v>69</v>
      </c>
      <c r="C39" s="204"/>
      <c r="D39" s="204" t="s">
        <v>70</v>
      </c>
      <c r="E39" s="204"/>
      <c r="F39" s="204"/>
      <c r="G39" s="204"/>
      <c r="H39" s="199"/>
      <c r="I39" s="200"/>
      <c r="J39" s="184" t="s">
        <v>70</v>
      </c>
      <c r="K39" s="189"/>
      <c r="L39" s="189"/>
      <c r="M39" s="185"/>
      <c r="N39" s="199"/>
      <c r="O39" s="200"/>
      <c r="P39" s="231"/>
    </row>
    <row r="40" spans="1:19" ht="25.5" customHeight="1" x14ac:dyDescent="0.25">
      <c r="A40" s="196" t="s">
        <v>52</v>
      </c>
      <c r="B40" s="38" t="s">
        <v>46</v>
      </c>
      <c r="C40" s="38" t="s">
        <v>47</v>
      </c>
      <c r="D40" s="184" t="s">
        <v>46</v>
      </c>
      <c r="E40" s="185"/>
      <c r="F40" s="184" t="s">
        <v>47</v>
      </c>
      <c r="G40" s="185"/>
      <c r="H40" s="57" t="s">
        <v>46</v>
      </c>
      <c r="I40" s="58" t="s">
        <v>47</v>
      </c>
      <c r="J40" s="173" t="s">
        <v>46</v>
      </c>
      <c r="K40" s="174"/>
      <c r="L40" s="184" t="s">
        <v>47</v>
      </c>
      <c r="M40" s="185"/>
      <c r="N40" s="57" t="s">
        <v>46</v>
      </c>
      <c r="O40" s="58" t="s">
        <v>47</v>
      </c>
      <c r="P40" s="35"/>
    </row>
    <row r="41" spans="1:19" ht="15" customHeight="1" x14ac:dyDescent="0.25">
      <c r="A41" s="196"/>
      <c r="B41" s="59" t="s">
        <v>48</v>
      </c>
      <c r="C41" s="59" t="s">
        <v>48</v>
      </c>
      <c r="D41" s="122" t="s">
        <v>49</v>
      </c>
      <c r="E41" s="59" t="s">
        <v>48</v>
      </c>
      <c r="F41" s="60" t="s">
        <v>49</v>
      </c>
      <c r="G41" s="59" t="s">
        <v>48</v>
      </c>
      <c r="H41" s="58" t="s">
        <v>48</v>
      </c>
      <c r="I41" s="58" t="s">
        <v>48</v>
      </c>
      <c r="J41" s="60" t="s">
        <v>49</v>
      </c>
      <c r="K41" s="59" t="s">
        <v>48</v>
      </c>
      <c r="L41" s="60" t="s">
        <v>49</v>
      </c>
      <c r="M41" s="59" t="s">
        <v>48</v>
      </c>
      <c r="N41" s="58" t="s">
        <v>48</v>
      </c>
      <c r="O41" s="58" t="s">
        <v>48</v>
      </c>
      <c r="P41" s="35"/>
    </row>
    <row r="42" spans="1:19" ht="15.75" thickBot="1" x14ac:dyDescent="0.3">
      <c r="A42" s="17" t="s">
        <v>0</v>
      </c>
      <c r="B42" s="14" t="s">
        <v>1</v>
      </c>
      <c r="C42" s="14" t="s">
        <v>2</v>
      </c>
      <c r="D42" s="40" t="s">
        <v>3</v>
      </c>
      <c r="E42" s="40" t="s">
        <v>4</v>
      </c>
      <c r="F42" s="40" t="s">
        <v>5</v>
      </c>
      <c r="G42" s="40" t="s">
        <v>6</v>
      </c>
      <c r="H42" s="16" t="s">
        <v>7</v>
      </c>
      <c r="I42" s="16" t="s">
        <v>8</v>
      </c>
      <c r="J42" s="40" t="s">
        <v>9</v>
      </c>
      <c r="K42" s="40" t="s">
        <v>10</v>
      </c>
      <c r="L42" s="40" t="s">
        <v>11</v>
      </c>
      <c r="M42" s="40" t="s">
        <v>12</v>
      </c>
      <c r="N42" s="16" t="s">
        <v>13</v>
      </c>
      <c r="O42" s="16" t="s">
        <v>14</v>
      </c>
      <c r="P42" s="48" t="s">
        <v>15</v>
      </c>
    </row>
    <row r="43" spans="1:19" ht="80.25" hidden="1" customHeight="1" thickBot="1" x14ac:dyDescent="0.3">
      <c r="A43" s="8" t="s">
        <v>39</v>
      </c>
      <c r="B43" s="47" t="s">
        <v>40</v>
      </c>
      <c r="C43" s="47" t="s">
        <v>40</v>
      </c>
      <c r="D43" s="45"/>
      <c r="E43" s="39" t="s">
        <v>71</v>
      </c>
      <c r="F43" s="45"/>
      <c r="G43" s="39" t="s">
        <v>72</v>
      </c>
      <c r="H43" s="61" t="s">
        <v>51</v>
      </c>
      <c r="I43" s="61" t="s">
        <v>51</v>
      </c>
      <c r="J43" s="45" t="s">
        <v>49</v>
      </c>
      <c r="K43" s="39" t="s">
        <v>73</v>
      </c>
      <c r="L43" s="45" t="s">
        <v>49</v>
      </c>
      <c r="M43" s="39" t="s">
        <v>73</v>
      </c>
      <c r="N43" s="61" t="s">
        <v>51</v>
      </c>
      <c r="O43" s="61" t="s">
        <v>51</v>
      </c>
      <c r="P43" s="46" t="s">
        <v>53</v>
      </c>
    </row>
    <row r="44" spans="1:19" s="97" customFormat="1" ht="30" customHeight="1" x14ac:dyDescent="0.25">
      <c r="A44" s="95" t="s">
        <v>54</v>
      </c>
      <c r="B44" s="150"/>
      <c r="C44" s="150"/>
      <c r="D44" s="154"/>
      <c r="E44" s="129"/>
      <c r="F44" s="154"/>
      <c r="G44" s="129"/>
      <c r="H44" s="92">
        <f>B44-E44</f>
        <v>0</v>
      </c>
      <c r="I44" s="92">
        <f>C44-G44</f>
        <v>0</v>
      </c>
      <c r="J44" s="110" t="s">
        <v>16</v>
      </c>
      <c r="K44" s="129"/>
      <c r="L44" s="110" t="s">
        <v>17</v>
      </c>
      <c r="M44" s="129"/>
      <c r="N44" s="92">
        <f>B44-K44</f>
        <v>0</v>
      </c>
      <c r="O44" s="92">
        <f>C44-M44</f>
        <v>0</v>
      </c>
      <c r="P44" s="120"/>
      <c r="Q44" s="96"/>
      <c r="R44" s="96"/>
      <c r="S44" s="96"/>
    </row>
    <row r="45" spans="1:19" ht="30" customHeight="1" x14ac:dyDescent="0.25">
      <c r="A45" s="116" t="s">
        <v>60</v>
      </c>
      <c r="B45" s="127"/>
      <c r="C45" s="127"/>
      <c r="D45" s="154"/>
      <c r="E45" s="152"/>
      <c r="F45" s="154"/>
      <c r="G45" s="129"/>
      <c r="H45" s="92">
        <f t="shared" ref="H45:H51" si="2">B45-E45</f>
        <v>0</v>
      </c>
      <c r="I45" s="92">
        <f t="shared" ref="I45:I51" si="3">C45-G45</f>
        <v>0</v>
      </c>
      <c r="J45" s="110" t="s">
        <v>27</v>
      </c>
      <c r="K45" s="133"/>
      <c r="L45" s="110" t="s">
        <v>28</v>
      </c>
      <c r="M45" s="133"/>
      <c r="N45" s="92">
        <f t="shared" ref="N45:N51" si="4">B45-K45</f>
        <v>0</v>
      </c>
      <c r="O45" s="92">
        <f t="shared" ref="O45:O51" si="5">C45-M45</f>
        <v>0</v>
      </c>
      <c r="P45" s="143"/>
      <c r="Q45" s="94"/>
      <c r="R45" s="94"/>
      <c r="S45" s="94"/>
    </row>
    <row r="46" spans="1:19" ht="37.5" customHeight="1" x14ac:dyDescent="0.25">
      <c r="A46" s="117" t="s">
        <v>55</v>
      </c>
      <c r="B46" s="150"/>
      <c r="C46" s="150"/>
      <c r="D46" s="154"/>
      <c r="E46" s="129"/>
      <c r="F46" s="154"/>
      <c r="G46" s="129"/>
      <c r="H46" s="92">
        <f>B46-E46</f>
        <v>0</v>
      </c>
      <c r="I46" s="92">
        <f>C46-G46</f>
        <v>0</v>
      </c>
      <c r="J46" s="110" t="s">
        <v>18</v>
      </c>
      <c r="K46" s="129"/>
      <c r="L46" s="110" t="s">
        <v>19</v>
      </c>
      <c r="M46" s="129"/>
      <c r="N46" s="92">
        <f t="shared" si="4"/>
        <v>0</v>
      </c>
      <c r="O46" s="92">
        <f t="shared" si="5"/>
        <v>0</v>
      </c>
      <c r="P46" s="112"/>
      <c r="Q46" s="94"/>
      <c r="R46" s="94"/>
      <c r="S46" s="94"/>
    </row>
    <row r="47" spans="1:19" ht="37.5" customHeight="1" x14ac:dyDescent="0.25">
      <c r="A47" s="117" t="s">
        <v>56</v>
      </c>
      <c r="B47" s="127"/>
      <c r="C47" s="127"/>
      <c r="D47" s="154"/>
      <c r="E47" s="153"/>
      <c r="F47" s="154"/>
      <c r="G47" s="129"/>
      <c r="H47" s="92">
        <f t="shared" si="2"/>
        <v>0</v>
      </c>
      <c r="I47" s="92">
        <f t="shared" si="3"/>
        <v>0</v>
      </c>
      <c r="J47" s="110" t="s">
        <v>20</v>
      </c>
      <c r="K47" s="134"/>
      <c r="L47" s="110" t="s">
        <v>21</v>
      </c>
      <c r="M47" s="134"/>
      <c r="N47" s="92">
        <f t="shared" si="4"/>
        <v>0</v>
      </c>
      <c r="O47" s="92">
        <f t="shared" si="5"/>
        <v>0</v>
      </c>
      <c r="P47" s="143"/>
      <c r="Q47" s="94"/>
      <c r="R47" s="94"/>
      <c r="S47" s="94"/>
    </row>
    <row r="48" spans="1:19" ht="37.5" customHeight="1" x14ac:dyDescent="0.25">
      <c r="A48" s="117" t="s">
        <v>57</v>
      </c>
      <c r="B48" s="127"/>
      <c r="C48" s="127"/>
      <c r="D48" s="154"/>
      <c r="E48" s="153"/>
      <c r="F48" s="154"/>
      <c r="G48" s="129"/>
      <c r="H48" s="92">
        <f t="shared" si="2"/>
        <v>0</v>
      </c>
      <c r="I48" s="92">
        <f t="shared" si="3"/>
        <v>0</v>
      </c>
      <c r="J48" s="110" t="s">
        <v>22</v>
      </c>
      <c r="K48" s="134"/>
      <c r="L48" s="110" t="s">
        <v>23</v>
      </c>
      <c r="M48" s="134"/>
      <c r="N48" s="92">
        <f t="shared" si="4"/>
        <v>0</v>
      </c>
      <c r="O48" s="92">
        <f t="shared" si="5"/>
        <v>0</v>
      </c>
      <c r="P48" s="143"/>
      <c r="Q48" s="94"/>
      <c r="R48" s="94"/>
      <c r="S48" s="94"/>
    </row>
    <row r="49" spans="1:18" ht="30" customHeight="1" x14ac:dyDescent="0.25">
      <c r="A49" s="117" t="s">
        <v>58</v>
      </c>
      <c r="B49" s="150"/>
      <c r="C49" s="150"/>
      <c r="D49" s="154"/>
      <c r="E49" s="129"/>
      <c r="F49" s="154"/>
      <c r="G49" s="129"/>
      <c r="H49" s="92">
        <f t="shared" si="2"/>
        <v>0</v>
      </c>
      <c r="I49" s="92">
        <f t="shared" si="3"/>
        <v>0</v>
      </c>
      <c r="J49" s="110" t="s">
        <v>24</v>
      </c>
      <c r="K49" s="129"/>
      <c r="L49" s="110" t="s">
        <v>25</v>
      </c>
      <c r="M49" s="129"/>
      <c r="N49" s="92">
        <f t="shared" si="4"/>
        <v>0</v>
      </c>
      <c r="O49" s="92">
        <f t="shared" si="5"/>
        <v>0</v>
      </c>
      <c r="P49" s="120"/>
    </row>
    <row r="50" spans="1:18" ht="30" customHeight="1" thickBot="1" x14ac:dyDescent="0.3">
      <c r="A50" s="117" t="s">
        <v>59</v>
      </c>
      <c r="B50" s="150"/>
      <c r="C50" s="150"/>
      <c r="D50" s="154"/>
      <c r="E50" s="129"/>
      <c r="F50" s="154"/>
      <c r="G50" s="129"/>
      <c r="H50" s="92">
        <f t="shared" si="2"/>
        <v>0</v>
      </c>
      <c r="I50" s="92">
        <f t="shared" si="3"/>
        <v>0</v>
      </c>
      <c r="J50" s="111" t="s">
        <v>29</v>
      </c>
      <c r="K50" s="129"/>
      <c r="L50" s="111" t="s">
        <v>30</v>
      </c>
      <c r="M50" s="129"/>
      <c r="N50" s="92">
        <f t="shared" si="4"/>
        <v>0</v>
      </c>
      <c r="O50" s="92">
        <f t="shared" si="5"/>
        <v>0</v>
      </c>
      <c r="P50" s="143"/>
    </row>
    <row r="51" spans="1:18" ht="30" customHeight="1" thickBot="1" x14ac:dyDescent="0.3">
      <c r="A51" s="144" t="s">
        <v>50</v>
      </c>
      <c r="B51" s="101">
        <f>SUM(B44:B50)</f>
        <v>0</v>
      </c>
      <c r="C51" s="101">
        <f>SUM(C44:C50)</f>
        <v>0</v>
      </c>
      <c r="D51" s="101" t="s">
        <v>26</v>
      </c>
      <c r="E51" s="130">
        <f>SUM(E44:E50)</f>
        <v>0</v>
      </c>
      <c r="F51" s="101" t="s">
        <v>26</v>
      </c>
      <c r="G51" s="131">
        <f>SUM(G45:G50)</f>
        <v>0</v>
      </c>
      <c r="H51" s="92">
        <f t="shared" si="2"/>
        <v>0</v>
      </c>
      <c r="I51" s="92">
        <f t="shared" si="3"/>
        <v>0</v>
      </c>
      <c r="J51" s="102" t="s">
        <v>26</v>
      </c>
      <c r="K51" s="101">
        <f>SUM(K44:K50)</f>
        <v>0</v>
      </c>
      <c r="L51" s="102" t="s">
        <v>26</v>
      </c>
      <c r="M51" s="101">
        <f>SUM(M44:M50)</f>
        <v>0</v>
      </c>
      <c r="N51" s="92">
        <f t="shared" si="4"/>
        <v>0</v>
      </c>
      <c r="O51" s="92">
        <f t="shared" si="5"/>
        <v>0</v>
      </c>
      <c r="P51" s="142" t="s">
        <v>26</v>
      </c>
    </row>
    <row r="52" spans="1:18" x14ac:dyDescent="0.25">
      <c r="A52" s="70"/>
      <c r="B52" s="49"/>
      <c r="C52" s="49"/>
      <c r="D52" s="50"/>
      <c r="E52" s="49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</row>
    <row r="53" spans="1:18" ht="16.5" x14ac:dyDescent="0.3">
      <c r="A53" s="63" t="s">
        <v>62</v>
      </c>
      <c r="B53" s="19"/>
      <c r="C53" s="19"/>
      <c r="D53" s="19"/>
      <c r="E53" s="19"/>
      <c r="F53" s="65" t="s">
        <v>64</v>
      </c>
      <c r="G53" s="20"/>
      <c r="H53" s="20"/>
      <c r="I53" s="20"/>
      <c r="J53" s="21"/>
      <c r="K53" s="1"/>
      <c r="L53" s="1"/>
      <c r="M53" s="1"/>
      <c r="N53" s="1"/>
      <c r="O53" s="1"/>
      <c r="P53" s="1"/>
    </row>
    <row r="54" spans="1:18" ht="15" customHeight="1" x14ac:dyDescent="0.25">
      <c r="A54" s="205"/>
      <c r="B54" s="206"/>
      <c r="C54" s="206"/>
      <c r="D54" s="206"/>
      <c r="E54" s="207"/>
      <c r="F54" s="211"/>
      <c r="G54" s="212"/>
      <c r="H54" s="212"/>
      <c r="I54" s="212"/>
      <c r="J54" s="213"/>
      <c r="K54" s="1"/>
      <c r="L54" s="1"/>
      <c r="M54" s="1"/>
      <c r="N54" s="1"/>
      <c r="O54" s="1"/>
      <c r="P54" s="1"/>
    </row>
    <row r="55" spans="1:18" ht="72.75" customHeight="1" x14ac:dyDescent="0.25">
      <c r="A55" s="208"/>
      <c r="B55" s="209"/>
      <c r="C55" s="209"/>
      <c r="D55" s="209"/>
      <c r="E55" s="210"/>
      <c r="F55" s="214"/>
      <c r="G55" s="215"/>
      <c r="H55" s="215"/>
      <c r="I55" s="215"/>
      <c r="J55" s="216"/>
    </row>
    <row r="56" spans="1:18" ht="11.25" customHeight="1" x14ac:dyDescent="0.25">
      <c r="K56" s="1"/>
      <c r="L56" s="1"/>
      <c r="M56" s="1"/>
      <c r="N56" s="1"/>
      <c r="O56" s="1"/>
      <c r="P56" s="1"/>
      <c r="Q56" s="1"/>
      <c r="R56" s="1"/>
    </row>
    <row r="57" spans="1:18" ht="16.5" x14ac:dyDescent="0.3">
      <c r="A57" s="65" t="s">
        <v>65</v>
      </c>
      <c r="B57" s="66" t="s">
        <v>66</v>
      </c>
      <c r="C57" s="3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x14ac:dyDescent="0.25">
      <c r="A58" s="67" t="s">
        <v>68</v>
      </c>
      <c r="B58" s="9"/>
      <c r="C58" s="3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x14ac:dyDescent="0.25">
      <c r="A59" s="10"/>
      <c r="B59" s="9"/>
      <c r="C59" s="3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x14ac:dyDescent="0.25">
      <c r="A60" s="68" t="s">
        <v>74</v>
      </c>
      <c r="B60" s="9"/>
      <c r="C60" s="3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x14ac:dyDescent="0.25">
      <c r="A61" s="4"/>
      <c r="B61" s="6"/>
      <c r="C61" s="5"/>
      <c r="D61" s="1"/>
      <c r="E61" s="1"/>
      <c r="F61" s="1"/>
      <c r="G61" s="1"/>
      <c r="H61" s="1"/>
      <c r="I61" s="1"/>
      <c r="J61" s="1"/>
    </row>
    <row r="62" spans="1:18" x14ac:dyDescent="0.25">
      <c r="A62" s="70"/>
      <c r="B62" s="49"/>
      <c r="C62" s="49"/>
      <c r="D62" s="50"/>
      <c r="E62" s="49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</row>
    <row r="63" spans="1:18" x14ac:dyDescent="0.25">
      <c r="A63" s="70"/>
      <c r="B63" s="49"/>
      <c r="C63" s="49"/>
      <c r="D63" s="50"/>
      <c r="E63" s="49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</row>
    <row r="64" spans="1:18" ht="18" x14ac:dyDescent="0.25">
      <c r="A64" s="62" t="s">
        <v>94</v>
      </c>
      <c r="B64" s="62"/>
      <c r="O64" s="2" t="s">
        <v>99</v>
      </c>
      <c r="P64" s="193"/>
      <c r="Q64" s="193"/>
    </row>
    <row r="65" spans="1:26" ht="18" x14ac:dyDescent="0.25">
      <c r="A65" s="62"/>
      <c r="B65" s="62"/>
      <c r="P65" s="71"/>
    </row>
    <row r="66" spans="1:26" s="73" customFormat="1" ht="15" customHeight="1" x14ac:dyDescent="0.25">
      <c r="A66" s="217" t="s">
        <v>52</v>
      </c>
      <c r="B66" s="220" t="s">
        <v>42</v>
      </c>
      <c r="C66" s="221"/>
      <c r="D66" s="201" t="s">
        <v>43</v>
      </c>
      <c r="E66" s="202"/>
      <c r="F66" s="202"/>
      <c r="G66" s="202"/>
      <c r="H66" s="202"/>
      <c r="I66" s="202"/>
      <c r="J66" s="202"/>
      <c r="K66" s="202"/>
      <c r="L66" s="224" t="s">
        <v>44</v>
      </c>
      <c r="M66" s="225"/>
      <c r="N66" s="225"/>
      <c r="O66" s="225"/>
      <c r="P66" s="225"/>
      <c r="Q66" s="226"/>
      <c r="R66" s="175" t="s">
        <v>45</v>
      </c>
      <c r="S66" s="72"/>
      <c r="T66" s="72"/>
      <c r="U66" s="72"/>
      <c r="V66" s="72"/>
      <c r="W66" s="72"/>
      <c r="X66" s="72"/>
      <c r="Y66" s="72"/>
      <c r="Z66" s="72"/>
    </row>
    <row r="67" spans="1:26" s="73" customFormat="1" x14ac:dyDescent="0.25">
      <c r="A67" s="218"/>
      <c r="B67" s="222"/>
      <c r="C67" s="223"/>
      <c r="D67" s="201" t="s">
        <v>86</v>
      </c>
      <c r="E67" s="202"/>
      <c r="F67" s="202"/>
      <c r="G67" s="203"/>
      <c r="H67" s="201" t="s">
        <v>85</v>
      </c>
      <c r="I67" s="202"/>
      <c r="J67" s="202"/>
      <c r="K67" s="202"/>
      <c r="L67" s="227"/>
      <c r="M67" s="228"/>
      <c r="N67" s="228"/>
      <c r="O67" s="228"/>
      <c r="P67" s="228"/>
      <c r="Q67" s="229"/>
      <c r="R67" s="176"/>
      <c r="S67" s="72"/>
      <c r="T67" s="72"/>
      <c r="U67" s="72"/>
      <c r="V67" s="72"/>
      <c r="W67" s="72"/>
      <c r="X67" s="72"/>
      <c r="Y67" s="72"/>
      <c r="Z67" s="72"/>
    </row>
    <row r="68" spans="1:26" s="73" customFormat="1" ht="25.5" customHeight="1" x14ac:dyDescent="0.25">
      <c r="A68" s="218"/>
      <c r="B68" s="38" t="s">
        <v>46</v>
      </c>
      <c r="C68" s="38" t="s">
        <v>47</v>
      </c>
      <c r="D68" s="184" t="s">
        <v>46</v>
      </c>
      <c r="E68" s="185"/>
      <c r="F68" s="184" t="s">
        <v>47</v>
      </c>
      <c r="G68" s="185"/>
      <c r="H68" s="184" t="s">
        <v>46</v>
      </c>
      <c r="I68" s="185"/>
      <c r="J68" s="184" t="s">
        <v>47</v>
      </c>
      <c r="K68" s="185"/>
      <c r="L68" s="170" t="s">
        <v>87</v>
      </c>
      <c r="M68" s="171"/>
      <c r="N68" s="172"/>
      <c r="O68" s="170" t="s">
        <v>47</v>
      </c>
      <c r="P68" s="171"/>
      <c r="Q68" s="172"/>
      <c r="R68" s="176"/>
      <c r="S68" s="72"/>
      <c r="T68" s="72"/>
      <c r="U68" s="72"/>
      <c r="V68" s="72"/>
      <c r="W68" s="72"/>
      <c r="X68" s="72"/>
      <c r="Y68" s="72"/>
      <c r="Z68" s="72"/>
    </row>
    <row r="69" spans="1:26" s="77" customFormat="1" ht="125.25" customHeight="1" x14ac:dyDescent="0.25">
      <c r="A69" s="219"/>
      <c r="B69" s="69" t="s">
        <v>48</v>
      </c>
      <c r="C69" s="69" t="s">
        <v>48</v>
      </c>
      <c r="D69" s="60" t="s">
        <v>49</v>
      </c>
      <c r="E69" s="69" t="s">
        <v>48</v>
      </c>
      <c r="F69" s="60" t="s">
        <v>49</v>
      </c>
      <c r="G69" s="69" t="s">
        <v>48</v>
      </c>
      <c r="H69" s="60" t="s">
        <v>49</v>
      </c>
      <c r="I69" s="69" t="s">
        <v>48</v>
      </c>
      <c r="J69" s="60" t="s">
        <v>49</v>
      </c>
      <c r="K69" s="69" t="s">
        <v>48</v>
      </c>
      <c r="L69" s="74" t="s">
        <v>88</v>
      </c>
      <c r="M69" s="75" t="s">
        <v>89</v>
      </c>
      <c r="N69" s="75" t="s">
        <v>90</v>
      </c>
      <c r="O69" s="74" t="s">
        <v>88</v>
      </c>
      <c r="P69" s="75" t="s">
        <v>89</v>
      </c>
      <c r="Q69" s="75" t="s">
        <v>90</v>
      </c>
      <c r="R69" s="177"/>
      <c r="S69" s="76"/>
      <c r="T69" s="76"/>
      <c r="U69" s="76"/>
      <c r="V69" s="76"/>
      <c r="W69" s="76"/>
      <c r="X69" s="76"/>
      <c r="Y69" s="76"/>
      <c r="Z69" s="76"/>
    </row>
    <row r="70" spans="1:26" s="73" customFormat="1" ht="15.75" customHeight="1" thickBot="1" x14ac:dyDescent="0.3">
      <c r="A70" s="78" t="s">
        <v>0</v>
      </c>
      <c r="B70" s="79" t="s">
        <v>1</v>
      </c>
      <c r="C70" s="79" t="s">
        <v>2</v>
      </c>
      <c r="D70" s="79" t="s">
        <v>3</v>
      </c>
      <c r="E70" s="79" t="s">
        <v>4</v>
      </c>
      <c r="F70" s="79" t="s">
        <v>5</v>
      </c>
      <c r="G70" s="79" t="s">
        <v>6</v>
      </c>
      <c r="H70" s="79" t="s">
        <v>76</v>
      </c>
      <c r="I70" s="79" t="s">
        <v>77</v>
      </c>
      <c r="J70" s="79" t="s">
        <v>9</v>
      </c>
      <c r="K70" s="79" t="s">
        <v>10</v>
      </c>
      <c r="L70" s="80" t="s">
        <v>78</v>
      </c>
      <c r="M70" s="80" t="s">
        <v>79</v>
      </c>
      <c r="N70" s="80" t="s">
        <v>80</v>
      </c>
      <c r="O70" s="80" t="s">
        <v>81</v>
      </c>
      <c r="P70" s="80" t="s">
        <v>82</v>
      </c>
      <c r="Q70" s="80" t="s">
        <v>83</v>
      </c>
      <c r="R70" s="79" t="s">
        <v>84</v>
      </c>
      <c r="S70" s="81"/>
      <c r="T70" s="81"/>
      <c r="U70" s="81"/>
      <c r="V70" s="81"/>
      <c r="W70" s="81"/>
      <c r="X70" s="81"/>
    </row>
    <row r="71" spans="1:26" s="85" customFormat="1" ht="97.5" hidden="1" customHeight="1" thickBot="1" x14ac:dyDescent="0.25">
      <c r="A71" s="8" t="s">
        <v>39</v>
      </c>
      <c r="B71" s="47" t="s">
        <v>93</v>
      </c>
      <c r="C71" s="47" t="s">
        <v>93</v>
      </c>
      <c r="D71" s="82"/>
      <c r="E71" s="32" t="s">
        <v>92</v>
      </c>
      <c r="F71" s="82"/>
      <c r="G71" s="32" t="s">
        <v>92</v>
      </c>
      <c r="H71" s="82"/>
      <c r="I71" s="32" t="s">
        <v>92</v>
      </c>
      <c r="J71" s="82"/>
      <c r="K71" s="32" t="s">
        <v>91</v>
      </c>
      <c r="L71" s="61" t="s">
        <v>51</v>
      </c>
      <c r="M71" s="61" t="s">
        <v>51</v>
      </c>
      <c r="N71" s="61" t="s">
        <v>51</v>
      </c>
      <c r="O71" s="61" t="s">
        <v>51</v>
      </c>
      <c r="P71" s="61" t="s">
        <v>51</v>
      </c>
      <c r="Q71" s="61" t="s">
        <v>51</v>
      </c>
      <c r="R71" s="83" t="s">
        <v>53</v>
      </c>
      <c r="S71" s="84"/>
      <c r="T71" s="84"/>
      <c r="U71" s="84"/>
      <c r="V71" s="84"/>
      <c r="W71" s="84"/>
      <c r="X71" s="84"/>
    </row>
    <row r="72" spans="1:26" s="73" customFormat="1" ht="30" customHeight="1" thickBot="1" x14ac:dyDescent="0.3">
      <c r="A72" s="145" t="s">
        <v>54</v>
      </c>
      <c r="B72" s="150"/>
      <c r="C72" s="150"/>
      <c r="D72" s="151"/>
      <c r="E72" s="129"/>
      <c r="F72" s="151"/>
      <c r="G72" s="129"/>
      <c r="H72" s="151"/>
      <c r="I72" s="129"/>
      <c r="J72" s="151"/>
      <c r="K72" s="129"/>
      <c r="L72" s="123">
        <f>E72-I72</f>
        <v>0</v>
      </c>
      <c r="M72" s="123">
        <f>B72-E72</f>
        <v>0</v>
      </c>
      <c r="N72" s="123">
        <f>B72-I72</f>
        <v>0</v>
      </c>
      <c r="O72" s="123">
        <f>G72-K72</f>
        <v>0</v>
      </c>
      <c r="P72" s="123">
        <f>C72-G72</f>
        <v>0</v>
      </c>
      <c r="Q72" s="123">
        <f>C72-K72</f>
        <v>0</v>
      </c>
      <c r="R72" s="146"/>
      <c r="S72" s="81"/>
      <c r="T72" s="81"/>
      <c r="U72" s="81"/>
      <c r="V72" s="81"/>
      <c r="W72" s="81"/>
      <c r="X72" s="81"/>
    </row>
    <row r="73" spans="1:26" s="73" customFormat="1" ht="30" customHeight="1" x14ac:dyDescent="0.25">
      <c r="A73" s="145" t="s">
        <v>60</v>
      </c>
      <c r="B73" s="150"/>
      <c r="C73" s="150"/>
      <c r="D73" s="151"/>
      <c r="E73" s="152"/>
      <c r="F73" s="151"/>
      <c r="G73" s="152"/>
      <c r="H73" s="151"/>
      <c r="I73" s="152"/>
      <c r="J73" s="151"/>
      <c r="K73" s="152"/>
      <c r="L73" s="123"/>
      <c r="M73" s="123"/>
      <c r="N73" s="123"/>
      <c r="O73" s="123"/>
      <c r="P73" s="123"/>
      <c r="Q73" s="123"/>
      <c r="R73" s="146"/>
      <c r="S73" s="81"/>
      <c r="T73" s="81"/>
      <c r="U73" s="81"/>
      <c r="V73" s="81"/>
      <c r="W73" s="81"/>
      <c r="X73" s="81"/>
    </row>
    <row r="74" spans="1:26" s="73" customFormat="1" ht="38.25" customHeight="1" x14ac:dyDescent="0.25">
      <c r="A74" s="117" t="s">
        <v>55</v>
      </c>
      <c r="B74" s="150"/>
      <c r="C74" s="150"/>
      <c r="D74" s="151"/>
      <c r="E74" s="129"/>
      <c r="F74" s="151"/>
      <c r="G74" s="129"/>
      <c r="H74" s="151"/>
      <c r="I74" s="129"/>
      <c r="J74" s="151"/>
      <c r="K74" s="129"/>
      <c r="L74" s="123">
        <f>E74-I74</f>
        <v>0</v>
      </c>
      <c r="M74" s="123">
        <f>B74-E74</f>
        <v>0</v>
      </c>
      <c r="N74" s="123">
        <f>B74-I74</f>
        <v>0</v>
      </c>
      <c r="O74" s="123">
        <f>G74-K74</f>
        <v>0</v>
      </c>
      <c r="P74" s="123">
        <f>C74-G74</f>
        <v>0</v>
      </c>
      <c r="Q74" s="123">
        <f>C74-K74</f>
        <v>0</v>
      </c>
      <c r="R74" s="146"/>
      <c r="S74" s="81"/>
      <c r="T74" s="81"/>
      <c r="U74" s="81"/>
      <c r="V74" s="81"/>
      <c r="W74" s="81"/>
      <c r="X74" s="81"/>
    </row>
    <row r="75" spans="1:26" s="73" customFormat="1" ht="38.25" customHeight="1" x14ac:dyDescent="0.25">
      <c r="A75" s="117" t="s">
        <v>56</v>
      </c>
      <c r="B75" s="150"/>
      <c r="C75" s="150"/>
      <c r="D75" s="151"/>
      <c r="E75" s="153"/>
      <c r="F75" s="151"/>
      <c r="G75" s="153"/>
      <c r="H75" s="151"/>
      <c r="I75" s="153"/>
      <c r="J75" s="151"/>
      <c r="K75" s="153"/>
      <c r="L75" s="123"/>
      <c r="M75" s="123"/>
      <c r="N75" s="123"/>
      <c r="O75" s="123"/>
      <c r="P75" s="123"/>
      <c r="Q75" s="123"/>
      <c r="R75" s="146"/>
      <c r="S75" s="81"/>
      <c r="T75" s="81"/>
      <c r="U75" s="81"/>
      <c r="V75" s="81"/>
      <c r="W75" s="81"/>
      <c r="X75" s="81"/>
    </row>
    <row r="76" spans="1:26" s="73" customFormat="1" ht="38.25" customHeight="1" x14ac:dyDescent="0.25">
      <c r="A76" s="117" t="s">
        <v>57</v>
      </c>
      <c r="B76" s="150"/>
      <c r="C76" s="150"/>
      <c r="D76" s="151"/>
      <c r="E76" s="153"/>
      <c r="F76" s="151"/>
      <c r="G76" s="153"/>
      <c r="H76" s="151"/>
      <c r="I76" s="153"/>
      <c r="J76" s="151"/>
      <c r="K76" s="153"/>
      <c r="L76" s="123"/>
      <c r="M76" s="123"/>
      <c r="N76" s="123"/>
      <c r="O76" s="123"/>
      <c r="P76" s="123"/>
      <c r="Q76" s="123"/>
      <c r="R76" s="146"/>
      <c r="S76" s="81"/>
      <c r="T76" s="81"/>
      <c r="U76" s="81"/>
      <c r="V76" s="81"/>
      <c r="W76" s="81"/>
      <c r="X76" s="81"/>
    </row>
    <row r="77" spans="1:26" s="73" customFormat="1" ht="30" customHeight="1" x14ac:dyDescent="0.25">
      <c r="A77" s="117" t="s">
        <v>58</v>
      </c>
      <c r="B77" s="150"/>
      <c r="C77" s="150"/>
      <c r="D77" s="151"/>
      <c r="E77" s="129"/>
      <c r="F77" s="151"/>
      <c r="G77" s="129"/>
      <c r="H77" s="151"/>
      <c r="I77" s="129"/>
      <c r="J77" s="151"/>
      <c r="K77" s="129"/>
      <c r="L77" s="123">
        <f>E77-I77</f>
        <v>0</v>
      </c>
      <c r="M77" s="123">
        <f>B77-E77</f>
        <v>0</v>
      </c>
      <c r="N77" s="123">
        <f>B77-I77</f>
        <v>0</v>
      </c>
      <c r="O77" s="123">
        <f>G77-K77</f>
        <v>0</v>
      </c>
      <c r="P77" s="123">
        <f>C77-G77</f>
        <v>0</v>
      </c>
      <c r="Q77" s="123">
        <f>C77-K77</f>
        <v>0</v>
      </c>
      <c r="R77" s="146"/>
      <c r="S77" s="81"/>
      <c r="T77" s="81"/>
      <c r="U77" s="81"/>
      <c r="V77" s="81"/>
      <c r="W77" s="81"/>
      <c r="X77" s="81"/>
    </row>
    <row r="78" spans="1:26" s="73" customFormat="1" ht="30" customHeight="1" thickBot="1" x14ac:dyDescent="0.3">
      <c r="A78" s="117" t="s">
        <v>59</v>
      </c>
      <c r="B78" s="150"/>
      <c r="C78" s="150"/>
      <c r="D78" s="151"/>
      <c r="E78" s="129"/>
      <c r="F78" s="151"/>
      <c r="G78" s="129"/>
      <c r="H78" s="151"/>
      <c r="I78" s="129"/>
      <c r="J78" s="151"/>
      <c r="K78" s="129"/>
      <c r="L78" s="147"/>
      <c r="M78" s="147"/>
      <c r="N78" s="147"/>
      <c r="O78" s="147"/>
      <c r="P78" s="147"/>
      <c r="Q78" s="147"/>
      <c r="R78" s="146"/>
      <c r="S78" s="81"/>
      <c r="T78" s="81"/>
      <c r="U78" s="81"/>
      <c r="V78" s="81"/>
      <c r="W78" s="81"/>
      <c r="X78" s="81"/>
    </row>
    <row r="79" spans="1:26" ht="30" customHeight="1" thickBot="1" x14ac:dyDescent="0.3">
      <c r="A79" s="141" t="s">
        <v>50</v>
      </c>
      <c r="B79" s="148">
        <f>SUM(B72:B78)</f>
        <v>0</v>
      </c>
      <c r="C79" s="148">
        <f>SUM(C72:C78)</f>
        <v>0</v>
      </c>
      <c r="D79" s="148" t="s">
        <v>26</v>
      </c>
      <c r="E79" s="130">
        <f>SUM(E72:E78)</f>
        <v>0</v>
      </c>
      <c r="F79" s="148" t="s">
        <v>26</v>
      </c>
      <c r="G79" s="130">
        <f>SUM(G72:G78)</f>
        <v>0</v>
      </c>
      <c r="H79" s="148" t="s">
        <v>26</v>
      </c>
      <c r="I79" s="130">
        <f>SUM(I72:I78)</f>
        <v>0</v>
      </c>
      <c r="J79" s="148" t="s">
        <v>26</v>
      </c>
      <c r="K79" s="130">
        <f>SUM(K72:K78)</f>
        <v>0</v>
      </c>
      <c r="L79" s="149"/>
      <c r="M79" s="149"/>
      <c r="N79" s="149"/>
      <c r="O79" s="149"/>
      <c r="P79" s="149"/>
      <c r="Q79" s="149"/>
      <c r="R79" s="135"/>
      <c r="S79" s="1"/>
      <c r="T79" s="1"/>
      <c r="U79" s="1"/>
      <c r="V79" s="1"/>
      <c r="W79" s="1"/>
      <c r="X79" s="1"/>
    </row>
    <row r="80" spans="1:26" x14ac:dyDescent="0.25">
      <c r="A80" s="70"/>
      <c r="B80" s="49"/>
      <c r="C80" s="49"/>
      <c r="D80" s="50"/>
      <c r="E80" s="49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</row>
    <row r="81" spans="1:18" x14ac:dyDescent="0.25">
      <c r="K81" s="1"/>
      <c r="L81" s="1"/>
      <c r="M81" s="1"/>
      <c r="N81" s="1"/>
      <c r="O81" s="1"/>
      <c r="P81" s="1"/>
    </row>
    <row r="82" spans="1:18" ht="16.5" x14ac:dyDescent="0.3">
      <c r="A82" s="63" t="s">
        <v>62</v>
      </c>
      <c r="B82" s="19"/>
      <c r="C82" s="19"/>
      <c r="D82" s="19"/>
      <c r="E82" s="19"/>
      <c r="F82" s="65" t="s">
        <v>64</v>
      </c>
      <c r="G82" s="20"/>
      <c r="H82" s="20"/>
      <c r="I82" s="20"/>
      <c r="J82" s="21"/>
      <c r="K82" s="1"/>
      <c r="L82" s="1"/>
      <c r="M82" s="1"/>
      <c r="N82" s="1"/>
      <c r="O82" s="1"/>
      <c r="P82" s="1"/>
    </row>
    <row r="83" spans="1:18" ht="16.5" x14ac:dyDescent="0.3">
      <c r="A83" s="64" t="s">
        <v>63</v>
      </c>
      <c r="B83" s="22"/>
      <c r="C83" s="22"/>
      <c r="D83" s="22"/>
      <c r="E83" s="22"/>
      <c r="F83" s="23"/>
      <c r="G83" s="24"/>
      <c r="H83" s="24"/>
      <c r="I83" s="24"/>
      <c r="J83" s="25"/>
      <c r="K83" s="1"/>
      <c r="L83" s="1"/>
      <c r="M83" s="1"/>
      <c r="N83" s="1"/>
      <c r="O83" s="1"/>
      <c r="P83" s="1"/>
    </row>
    <row r="84" spans="1:18" ht="16.5" x14ac:dyDescent="0.25">
      <c r="A84" s="26"/>
      <c r="B84" s="27"/>
      <c r="C84" s="27"/>
      <c r="D84" s="27"/>
      <c r="E84" s="27"/>
      <c r="F84" s="28"/>
      <c r="G84" s="29"/>
      <c r="H84" s="29"/>
      <c r="I84" s="29"/>
      <c r="J84" s="30"/>
    </row>
    <row r="85" spans="1:18" x14ac:dyDescent="0.25">
      <c r="K85" s="1"/>
      <c r="L85" s="1"/>
      <c r="M85" s="1"/>
      <c r="N85" s="1"/>
      <c r="O85" s="1"/>
      <c r="P85" s="1"/>
      <c r="Q85" s="1"/>
      <c r="R85" s="1"/>
    </row>
    <row r="86" spans="1:18" ht="16.5" x14ac:dyDescent="0.3">
      <c r="A86" s="65" t="s">
        <v>65</v>
      </c>
      <c r="B86" s="66" t="s">
        <v>66</v>
      </c>
      <c r="C86" s="3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x14ac:dyDescent="0.25">
      <c r="A87" s="67" t="s">
        <v>68</v>
      </c>
      <c r="B87" s="9"/>
      <c r="C87" s="3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x14ac:dyDescent="0.25">
      <c r="A88" s="10"/>
      <c r="B88" s="9"/>
      <c r="C88" s="3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x14ac:dyDescent="0.25">
      <c r="A89" s="68" t="s">
        <v>74</v>
      </c>
      <c r="B89" s="9"/>
      <c r="C89" s="3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x14ac:dyDescent="0.25">
      <c r="A90" s="4"/>
      <c r="B90" s="6"/>
      <c r="C90" s="5"/>
      <c r="D90" s="1"/>
      <c r="E90" s="1"/>
      <c r="F90" s="1"/>
      <c r="G90" s="1"/>
      <c r="H90" s="1"/>
      <c r="I90" s="1"/>
      <c r="J90" s="1"/>
    </row>
  </sheetData>
  <mergeCells count="44">
    <mergeCell ref="P38:P39"/>
    <mergeCell ref="N38:O39"/>
    <mergeCell ref="D40:E40"/>
    <mergeCell ref="B38:C38"/>
    <mergeCell ref="B39:C39"/>
    <mergeCell ref="D67:G67"/>
    <mergeCell ref="H67:K67"/>
    <mergeCell ref="D39:G39"/>
    <mergeCell ref="P64:Q64"/>
    <mergeCell ref="F68:G68"/>
    <mergeCell ref="A54:E55"/>
    <mergeCell ref="F54:J55"/>
    <mergeCell ref="J68:K68"/>
    <mergeCell ref="A66:A69"/>
    <mergeCell ref="B66:C67"/>
    <mergeCell ref="D66:K66"/>
    <mergeCell ref="H68:I68"/>
    <mergeCell ref="D68:E68"/>
    <mergeCell ref="L68:N68"/>
    <mergeCell ref="L40:M40"/>
    <mergeCell ref="L66:Q67"/>
    <mergeCell ref="O68:Q68"/>
    <mergeCell ref="J40:K40"/>
    <mergeCell ref="R66:R69"/>
    <mergeCell ref="A3:J4"/>
    <mergeCell ref="D14:E14"/>
    <mergeCell ref="F14:G14"/>
    <mergeCell ref="J13:J15"/>
    <mergeCell ref="H13:I13"/>
    <mergeCell ref="J39:M39"/>
    <mergeCell ref="J38:M38"/>
    <mergeCell ref="D38:G38"/>
    <mergeCell ref="I11:J11"/>
    <mergeCell ref="F7:G7"/>
    <mergeCell ref="A40:A41"/>
    <mergeCell ref="F40:G40"/>
    <mergeCell ref="H38:I39"/>
    <mergeCell ref="A28:E29"/>
    <mergeCell ref="B13:C13"/>
    <mergeCell ref="F6:G6"/>
    <mergeCell ref="C7:D7"/>
    <mergeCell ref="C8:D8"/>
    <mergeCell ref="F8:G8"/>
    <mergeCell ref="D13:G1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41" fitToHeight="0" orientation="landscape" verticalDpi="599" r:id="rId1"/>
  <rowBreaks count="2" manualBreakCount="2">
    <brk id="35" max="17" man="1"/>
    <brk id="62" max="17" man="1"/>
  </rowBreaks>
  <ignoredErrors>
    <ignoredError sqref="A16:J16 A42:P42 J50 A70:IV70 J44 L44 J45:J49 L45:L49 L50" numberStoredAsText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52</vt:i4>
      </vt:variant>
    </vt:vector>
  </HeadingPairs>
  <TitlesOfParts>
    <vt:vector size="53" baseType="lpstr">
      <vt:lpstr>6405</vt:lpstr>
      <vt:lpstr>DO_101_AB</vt:lpstr>
      <vt:lpstr>DO_101_U</vt:lpstr>
      <vt:lpstr>DO_102_AB</vt:lpstr>
      <vt:lpstr>DO_102_U</vt:lpstr>
      <vt:lpstr>DO_103_AB</vt:lpstr>
      <vt:lpstr>DO_103_U</vt:lpstr>
      <vt:lpstr>DO_201_AB</vt:lpstr>
      <vt:lpstr>DO_201_U</vt:lpstr>
      <vt:lpstr>DO_202_AB</vt:lpstr>
      <vt:lpstr>DO_202_U</vt:lpstr>
      <vt:lpstr>DO_302_AB</vt:lpstr>
      <vt:lpstr>DO_302_U</vt:lpstr>
      <vt:lpstr>DO_501_AB</vt:lpstr>
      <vt:lpstr>DO_501_U</vt:lpstr>
      <vt:lpstr>Donem</vt:lpstr>
      <vt:lpstr>Donem2</vt:lpstr>
      <vt:lpstr>gozdenGeciren</vt:lpstr>
      <vt:lpstr>HazirlamaTarihi</vt:lpstr>
      <vt:lpstr>hazirlayan</vt:lpstr>
      <vt:lpstr>KALAN_101_AB</vt:lpstr>
      <vt:lpstr>KALAN_101_U</vt:lpstr>
      <vt:lpstr>KALAN_102_AB</vt:lpstr>
      <vt:lpstr>KALAN_102_U</vt:lpstr>
      <vt:lpstr>KALAN_103_AB</vt:lpstr>
      <vt:lpstr>KALAN_103_U</vt:lpstr>
      <vt:lpstr>KALAN_201_AB</vt:lpstr>
      <vt:lpstr>KALAN_201_U</vt:lpstr>
      <vt:lpstr>KALAN_202_AB</vt:lpstr>
      <vt:lpstr>KALAN_202_U</vt:lpstr>
      <vt:lpstr>KALAN_302_AB</vt:lpstr>
      <vt:lpstr>KALAN_302_U</vt:lpstr>
      <vt:lpstr>KALAN_501_AB</vt:lpstr>
      <vt:lpstr>KALAN_501_U</vt:lpstr>
      <vt:lpstr>KayitSayisi1</vt:lpstr>
      <vt:lpstr>KayitSayisi2</vt:lpstr>
      <vt:lpstr>KayitSayisi3</vt:lpstr>
      <vt:lpstr>kontrolEden</vt:lpstr>
      <vt:lpstr>OB_101_AB</vt:lpstr>
      <vt:lpstr>OB_101_U</vt:lpstr>
      <vt:lpstr>OB_102_AB</vt:lpstr>
      <vt:lpstr>OB_102_U</vt:lpstr>
      <vt:lpstr>OB_103_AB</vt:lpstr>
      <vt:lpstr>OB_103_U</vt:lpstr>
      <vt:lpstr>OB_201_AB</vt:lpstr>
      <vt:lpstr>OB_201_U</vt:lpstr>
      <vt:lpstr>OB_202_AB</vt:lpstr>
      <vt:lpstr>OB_202_U</vt:lpstr>
      <vt:lpstr>OB_302_AB</vt:lpstr>
      <vt:lpstr>OB_302_U</vt:lpstr>
      <vt:lpstr>OB_501_AB</vt:lpstr>
      <vt:lpstr>OB_501_U</vt:lpstr>
      <vt:lpstr>'6405'!Yazdırma_Alanı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TKDK</dc:creator>
  <cp:lastModifiedBy>Can</cp:lastModifiedBy>
  <cp:lastPrinted>2017-12-17T18:53:17Z</cp:lastPrinted>
  <dcterms:created xsi:type="dcterms:W3CDTF">2011-02-11T08:23:56Z</dcterms:created>
  <dcterms:modified xsi:type="dcterms:W3CDTF">2017-12-17T21:10:20Z</dcterms:modified>
</cp:coreProperties>
</file>