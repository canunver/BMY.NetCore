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/>
  </bookViews>
  <sheets>
    <sheet name="6807 Debt and Recovery Report" sheetId="2" r:id="rId1"/>
  </sheets>
  <definedNames>
    <definedName name="_ftn1" localSheetId="0">'6807 Debt and Recovery Report'!$A$65</definedName>
    <definedName name="_ftn2" localSheetId="0">'6807 Debt and Recovery Report'!$A$66</definedName>
    <definedName name="_ftn3" localSheetId="0">'6807 Debt and Recovery Report'!$A$67</definedName>
    <definedName name="_ftnref1" localSheetId="0">'6807 Debt and Recovery Report'!$B$49</definedName>
    <definedName name="_ftnref2" localSheetId="0">'6807 Debt and Recovery Report'!$O$57</definedName>
    <definedName name="_ftnref3" localSheetId="0">'6807 Debt and Recovery Report'!$O$59</definedName>
    <definedName name="_Ref256611978" localSheetId="0">'6807 Debt and Recovery Report'!$O$57</definedName>
    <definedName name="BaslaSatir">'6807 Debt and Recovery Report'!$A$71</definedName>
    <definedName name="basvuruKayitNumarasi">'6807 Debt and Recovery Report'!$D$46</definedName>
    <definedName name="borcluAd">'6807 Debt and Recovery Report'!$G$47</definedName>
    <definedName name="borcunKodu">'6807 Debt and Recovery Report'!$D$49</definedName>
    <definedName name="FormatSatirOdeme">'6807 Debt and Recovery Report'!$A$9:$O$9</definedName>
    <definedName name="FormatSatirOdemeBilgi">'6807 Debt and Recovery Report'!$A$11:$O$22</definedName>
    <definedName name="FormatSatirSil">'6807 Debt and Recovery Report'!$A$2:$O$7</definedName>
    <definedName name="FormatSatirSonDurum">'6807 Debt and Recovery Report'!$A$24:$O$31</definedName>
    <definedName name="geriAlimDovizKuru">'6807 Debt and Recovery Report'!$O$62</definedName>
    <definedName name="geriAlimMiktarAB">'6807 Debt and Recovery Report'!$C$58</definedName>
    <definedName name="geriAlimMiktarUlusal">'6807 Debt and Recovery Report'!$D$58</definedName>
    <definedName name="geriAlimTarihi">'6807 Debt and Recovery Report'!$D$51</definedName>
    <definedName name="gozdenGeciren">'6807 Debt and Recovery Report'!$G$74</definedName>
    <definedName name="hazirlayan">'6807 Debt and Recovery Report'!$A$74</definedName>
    <definedName name="IpardVer">'6807 Debt and Recovery Report'!$O$43</definedName>
    <definedName name="islemGunu">'6807 Debt and Recovery Report'!$I$43:$K$43</definedName>
    <definedName name="kimlikNo">'6807 Debt and Recovery Report'!$E$43</definedName>
    <definedName name="kontrolEden">'6807 Debt and Recovery Report'!$D$74</definedName>
    <definedName name="onaylayan">'6807 Debt and Recovery Report'!$I$74</definedName>
    <definedName name="SilTar">'6807 Debt and Recovery Report'!$J$2</definedName>
    <definedName name="uygunBulan">'6807 Debt and Recovery Report'!$M$74</definedName>
    <definedName name="vakaNumarasi">'6807 Debt and Recovery Report'!$N$49</definedName>
    <definedName name="_xlnm.Print_Area" localSheetId="0">'6807 Debt and Recovery Report'!$A$37:$O$77</definedName>
    <definedName name="_xlnm.Print_Titles" localSheetId="0">'6807 Debt and Recovery Report'!$37:$41</definedName>
  </definedNames>
  <calcPr calcId="152511"/>
</workbook>
</file>

<file path=xl/calcChain.xml><?xml version="1.0" encoding="utf-8"?>
<calcChain xmlns="http://schemas.openxmlformats.org/spreadsheetml/2006/main">
  <c r="B20" i="2" l="1"/>
  <c r="G19" i="2"/>
  <c r="G20" i="2"/>
  <c r="I30" i="2" l="1"/>
  <c r="H30" i="2"/>
  <c r="F30" i="2"/>
  <c r="E30" i="2"/>
  <c r="L29" i="2"/>
  <c r="K29" i="2"/>
  <c r="M29" i="2" s="1"/>
  <c r="G29" i="2"/>
  <c r="L28" i="2"/>
  <c r="G28" i="2"/>
  <c r="L27" i="2"/>
  <c r="G27" i="2"/>
  <c r="I19" i="2"/>
  <c r="L19" i="2" s="1"/>
  <c r="H19" i="2"/>
  <c r="H20" i="2" s="1"/>
  <c r="K20" i="2" s="1"/>
  <c r="I15" i="2"/>
  <c r="I16" i="2" s="1"/>
  <c r="H15" i="2"/>
  <c r="H16" i="2" s="1"/>
  <c r="F15" i="2"/>
  <c r="E15" i="2"/>
  <c r="I14" i="2"/>
  <c r="H14" i="2"/>
  <c r="F14" i="2"/>
  <c r="E14" i="2"/>
  <c r="G14" i="2" s="1"/>
  <c r="L13" i="2"/>
  <c r="K13" i="2"/>
  <c r="G13" i="2"/>
  <c r="E6" i="2"/>
  <c r="G5" i="2"/>
  <c r="E17" i="2" l="1"/>
  <c r="G15" i="2"/>
  <c r="M13" i="2"/>
  <c r="L30" i="2"/>
  <c r="K30" i="2"/>
  <c r="K27" i="2"/>
  <c r="M27" i="2" s="1"/>
  <c r="K28" i="2"/>
  <c r="M28" i="2" s="1"/>
  <c r="G30" i="2"/>
  <c r="I20" i="2"/>
  <c r="L20" i="2" s="1"/>
  <c r="M20" i="2" s="1"/>
  <c r="K19" i="2"/>
  <c r="M19" i="2" s="1"/>
  <c r="K14" i="2"/>
  <c r="K15" i="2"/>
  <c r="L14" i="2"/>
  <c r="L15" i="2"/>
  <c r="E16" i="2"/>
  <c r="G16" i="2" s="1"/>
  <c r="F17" i="2"/>
  <c r="F16" i="2"/>
  <c r="L16" i="2" s="1"/>
  <c r="F6" i="2"/>
  <c r="G6" i="2" s="1"/>
  <c r="B61" i="2"/>
  <c r="L17" i="2" l="1"/>
  <c r="F18" i="2"/>
  <c r="L18" i="2" s="1"/>
  <c r="K17" i="2"/>
  <c r="E18" i="2"/>
  <c r="G17" i="2"/>
  <c r="M15" i="2"/>
  <c r="M14" i="2"/>
  <c r="M30" i="2"/>
  <c r="K16" i="2"/>
  <c r="M16" i="2" s="1"/>
  <c r="L43" i="2"/>
  <c r="D76" i="2" s="1"/>
  <c r="M17" i="2" l="1"/>
  <c r="G18" i="2"/>
  <c r="K18" i="2"/>
  <c r="M18" i="2" s="1"/>
  <c r="B76" i="2"/>
  <c r="O58" i="2"/>
  <c r="O61" i="2"/>
  <c r="G76" i="2" l="1"/>
  <c r="I76" i="2" s="1"/>
  <c r="M76" i="2" s="1"/>
  <c r="B74" i="2"/>
  <c r="O60" i="2"/>
  <c r="O63" i="2"/>
  <c r="L48" i="2"/>
  <c r="G48" i="2"/>
  <c r="C59" i="2"/>
  <c r="K58" i="2"/>
  <c r="K59" i="2" s="1"/>
  <c r="K60" i="2" s="1"/>
  <c r="H58" i="2"/>
  <c r="D60" i="2"/>
  <c r="D61" i="2" s="1"/>
  <c r="C60" i="2"/>
  <c r="C61" i="2" s="1"/>
  <c r="D59" i="2"/>
  <c r="G58" i="2"/>
  <c r="G59" i="2" s="1"/>
  <c r="K61" i="2" l="1"/>
  <c r="D63" i="2"/>
  <c r="K63" i="2" s="1"/>
  <c r="M58" i="2"/>
  <c r="M59" i="2" s="1"/>
  <c r="G60" i="2"/>
  <c r="H61" i="2"/>
  <c r="C63" i="2"/>
  <c r="G61" i="2"/>
  <c r="H59" i="2"/>
  <c r="H60" i="2" s="1"/>
  <c r="M60" i="2" s="1"/>
  <c r="M61" i="2" l="1"/>
  <c r="H63" i="2"/>
  <c r="M63" i="2" s="1"/>
  <c r="G63" i="2"/>
</calcChain>
</file>

<file path=xl/sharedStrings.xml><?xml version="1.0" encoding="utf-8"?>
<sst xmlns="http://schemas.openxmlformats.org/spreadsheetml/2006/main" count="136" uniqueCount="84">
  <si>
    <t>TL</t>
  </si>
  <si>
    <t>EURO</t>
  </si>
  <si>
    <t>Euro</t>
  </si>
  <si>
    <t>1.</t>
  </si>
  <si>
    <t>2.</t>
  </si>
  <si>
    <t>3.</t>
  </si>
  <si>
    <t>4.</t>
  </si>
  <si>
    <t>5.</t>
  </si>
  <si>
    <t>6.</t>
  </si>
  <si>
    <t>7.</t>
  </si>
  <si>
    <t>8.</t>
  </si>
  <si>
    <t>ARDSI</t>
  </si>
  <si>
    <t xml:space="preserve"> ACCOUNTING                                                                                                                                                                                </t>
  </si>
  <si>
    <t>Debt # in ARDSI Debtor Ledger</t>
  </si>
  <si>
    <t>Application ID number</t>
  </si>
  <si>
    <t xml:space="preserve">Beneficiary </t>
  </si>
  <si>
    <t>Name:</t>
  </si>
  <si>
    <t>Irregularity report reference</t>
  </si>
  <si>
    <t>Date on which the debt was first noted</t>
  </si>
  <si>
    <t xml:space="preserve">Date of recording of the debt </t>
  </si>
  <si>
    <t>National currency (TL)</t>
  </si>
  <si>
    <t xml:space="preserve">Amounts paid by ARDSI </t>
  </si>
  <si>
    <t>Total</t>
  </si>
  <si>
    <t>Exchange rate</t>
  </si>
  <si>
    <t>National 
Contribution</t>
  </si>
  <si>
    <t>Personal  ID 
Number</t>
  </si>
  <si>
    <t>Tax ID 
number:</t>
  </si>
  <si>
    <t>Status regarding the Declaration of 
Expenditure (Form D1) [Tick as relevant]</t>
  </si>
  <si>
    <t>[3] Article 45 of the Sectoral agreement: rate applicable on the date the payment order was issued to the final beneficiary</t>
  </si>
  <si>
    <t>[4] Article 45 of the Sectoral agreement: rate applicable in the month preceding the month during which the debt  was first noted</t>
  </si>
  <si>
    <t>Currency</t>
  </si>
  <si>
    <t>EC</t>
  </si>
  <si>
    <t>NC</t>
  </si>
  <si>
    <t>EC + NC</t>
  </si>
  <si>
    <t>Principal</t>
  </si>
  <si>
    <t>Interests</t>
  </si>
  <si>
    <t>Upon date of recovery</t>
  </si>
  <si>
    <t>Conversion at rate applicable the month preceding the recovery</t>
  </si>
  <si>
    <r>
      <t xml:space="preserve">To: </t>
    </r>
    <r>
      <rPr>
        <b/>
        <sz val="8"/>
        <color indexed="8"/>
        <rFont val="Garamond"/>
        <family val="1"/>
        <charset val="162"/>
      </rPr>
      <t>NF IPARD Transfer account</t>
    </r>
  </si>
  <si>
    <r>
      <t xml:space="preserve">To: </t>
    </r>
    <r>
      <rPr>
        <b/>
        <sz val="8"/>
        <color indexed="8"/>
        <rFont val="Garamond"/>
        <family val="1"/>
        <charset val="162"/>
      </rPr>
      <t>IPARD National co-financing</t>
    </r>
  </si>
  <si>
    <t>RECOVERIES</t>
  </si>
  <si>
    <t>STATUS UPON CUT-OFF DATE</t>
  </si>
  <si>
    <t>Cumulated recoveries</t>
  </si>
  <si>
    <t>Outstanding amounts</t>
  </si>
  <si>
    <t>Amount written off:</t>
  </si>
  <si>
    <t>Total Debt</t>
  </si>
  <si>
    <t xml:space="preserve">[2] In accordance with the ARDSI  Debt Code List </t>
  </si>
  <si>
    <r>
      <t>Debt Code</t>
    </r>
    <r>
      <rPr>
        <b/>
        <vertAlign val="superscript"/>
        <sz val="11"/>
        <color indexed="12"/>
        <rFont val="Garamond"/>
        <family val="1"/>
        <charset val="162"/>
      </rPr>
      <t>2</t>
    </r>
    <r>
      <rPr>
        <b/>
        <sz val="11"/>
        <color indexed="8"/>
        <rFont val="Garamond"/>
        <family val="1"/>
        <charset val="162"/>
      </rPr>
      <t>:</t>
    </r>
  </si>
  <si>
    <t>9.</t>
  </si>
  <si>
    <t>EU Contribution</t>
  </si>
  <si>
    <t>Amount Corrected (i.e. by legal court or ARDSI)</t>
  </si>
  <si>
    <t>Amounts to be Recovered from Debtor</t>
  </si>
  <si>
    <t>10.</t>
  </si>
  <si>
    <t>11.</t>
  </si>
  <si>
    <t>[1] To be submitted to the NAO within 5 working days after the ARDSI records the debt in its debtors’ ledger (Article 38 of the Memorandum of Understanding between the NAO and the IPARD OS)</t>
  </si>
  <si>
    <t>6807 
DEBT and RECOVERY REPORT</t>
  </si>
  <si>
    <t>Visa:</t>
  </si>
  <si>
    <t>Prepared/updated  by:</t>
  </si>
  <si>
    <t xml:space="preserve">Controlled by: </t>
  </si>
  <si>
    <t>Reviewed by:</t>
  </si>
  <si>
    <t xml:space="preserve">Approved by: </t>
  </si>
  <si>
    <t xml:space="preserve">Endorsed by: </t>
  </si>
  <si>
    <t xml:space="preserve">Name: </t>
  </si>
  <si>
    <t xml:space="preserve">Position: </t>
  </si>
  <si>
    <t>Date :</t>
  </si>
  <si>
    <t>(if applicable):</t>
  </si>
  <si>
    <t>Date:</t>
  </si>
  <si>
    <t>VERSION 10.5.01</t>
  </si>
  <si>
    <t xml:space="preserve">Cut off Date of the Report: </t>
  </si>
  <si>
    <t xml:space="preserve">on: </t>
  </si>
  <si>
    <t>Position: Accounting Expert</t>
  </si>
  <si>
    <t>Senior Accounting Expert</t>
  </si>
  <si>
    <t>Coordinator of Accounting</t>
  </si>
  <si>
    <t>General Coordinator for Finance</t>
  </si>
  <si>
    <t>Acting President</t>
  </si>
  <si>
    <r>
      <t>DEBTS and RECOVERY REPORT NO</t>
    </r>
    <r>
      <rPr>
        <b/>
        <vertAlign val="superscript"/>
        <sz val="11"/>
        <color indexed="12"/>
        <rFont val="Garamond"/>
        <family val="1"/>
        <charset val="162"/>
      </rPr>
      <t>1</t>
    </r>
  </si>
  <si>
    <t>Coordination Unit for Accounting</t>
  </si>
  <si>
    <t xml:space="preserve"> The debt has been incorporated in a Declaration of Expenditure and Revenue submitted to the NAO on ../../20..</t>
  </si>
  <si>
    <t xml:space="preserve"> The debt has not been incorporated in any previous Declaration of Expenditure and revenue submitted by the ARDSI to the NAO</t>
  </si>
  <si>
    <t>WRITTEN OFF DEBT</t>
  </si>
  <si>
    <t>Date of expiration of 2 years after registration in debtor's ledger:</t>
  </si>
  <si>
    <t>,</t>
  </si>
  <si>
    <t>Tranche recovered</t>
  </si>
  <si>
    <t>BANK
TRANSFERS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</si>
</sst>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\ _k_r_-;\-* #,##0.00\ _k_r_-;_-* &quot;-&quot;??\ _k_r_-;_-@_-"/>
    <numFmt numFmtId="165" formatCode="dd/mm/yyyy;@"/>
    <numFmt numFmtId="166" formatCode="0.0000"/>
    <numFmt numFmtId="167" formatCode="#,##0.0000"/>
  </numFmts>
  <fonts count="60" x14ac:knownFonts="1">
    <font>
      <sz val="11"/>
      <color indexed="8"/>
      <name val="Calibri"/>
      <family val="2"/>
      <charset val="162"/>
    </font>
    <font>
      <sz val="11"/>
      <color indexed="8"/>
      <name val="Calibri"/>
      <family val="2"/>
      <charset val="162"/>
    </font>
    <font>
      <sz val="11"/>
      <color indexed="9"/>
      <name val="Calibri"/>
      <family val="2"/>
      <charset val="162"/>
    </font>
    <font>
      <i/>
      <sz val="11"/>
      <color indexed="23"/>
      <name val="Calibri"/>
      <family val="2"/>
      <charset val="162"/>
    </font>
    <font>
      <b/>
      <sz val="18"/>
      <color indexed="56"/>
      <name val="Cambria"/>
      <family val="2"/>
      <charset val="162"/>
    </font>
    <font>
      <sz val="11"/>
      <color indexed="52"/>
      <name val="Calibri"/>
      <family val="2"/>
      <charset val="162"/>
    </font>
    <font>
      <b/>
      <sz val="15"/>
      <color indexed="56"/>
      <name val="Calibri"/>
      <family val="2"/>
      <charset val="162"/>
    </font>
    <font>
      <b/>
      <sz val="13"/>
      <color indexed="56"/>
      <name val="Calibri"/>
      <family val="2"/>
      <charset val="162"/>
    </font>
    <font>
      <b/>
      <sz val="11"/>
      <color indexed="56"/>
      <name val="Calibri"/>
      <family val="2"/>
      <charset val="162"/>
    </font>
    <font>
      <sz val="10"/>
      <name val="Arial"/>
      <family val="2"/>
      <charset val="162"/>
    </font>
    <font>
      <b/>
      <sz val="11"/>
      <color indexed="63"/>
      <name val="Calibri"/>
      <family val="2"/>
      <charset val="162"/>
    </font>
    <font>
      <sz val="11"/>
      <color indexed="62"/>
      <name val="Calibri"/>
      <family val="2"/>
      <charset val="162"/>
    </font>
    <font>
      <b/>
      <sz val="11"/>
      <color indexed="52"/>
      <name val="Calibri"/>
      <family val="2"/>
      <charset val="162"/>
    </font>
    <font>
      <u/>
      <sz val="9.9"/>
      <color indexed="12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1"/>
      <color indexed="17"/>
      <name val="Calibri"/>
      <family val="2"/>
      <charset val="162"/>
    </font>
    <font>
      <sz val="11"/>
      <color indexed="20"/>
      <name val="Calibri"/>
      <family val="2"/>
      <charset val="162"/>
    </font>
    <font>
      <sz val="11"/>
      <color indexed="60"/>
      <name val="Calibri"/>
      <family val="2"/>
      <charset val="162"/>
    </font>
    <font>
      <b/>
      <sz val="11"/>
      <color indexed="8"/>
      <name val="Calibri"/>
      <family val="2"/>
      <charset val="162"/>
    </font>
    <font>
      <sz val="11"/>
      <color indexed="10"/>
      <name val="Calibri"/>
      <family val="2"/>
      <charset val="162"/>
    </font>
    <font>
      <b/>
      <sz val="8"/>
      <color indexed="8"/>
      <name val="Garamond"/>
      <family val="1"/>
      <charset val="162"/>
    </font>
    <font>
      <sz val="8"/>
      <color indexed="8"/>
      <name val="Garamond"/>
      <family val="1"/>
      <charset val="162"/>
    </font>
    <font>
      <sz val="9"/>
      <color indexed="8"/>
      <name val="Garamond"/>
      <family val="1"/>
      <charset val="162"/>
    </font>
    <font>
      <b/>
      <sz val="12"/>
      <color indexed="8"/>
      <name val="Garamond"/>
      <family val="1"/>
      <charset val="162"/>
    </font>
    <font>
      <b/>
      <sz val="11"/>
      <color indexed="8"/>
      <name val="Garamond"/>
      <family val="1"/>
      <charset val="162"/>
    </font>
    <font>
      <sz val="11"/>
      <color indexed="8"/>
      <name val="Garamond"/>
      <family val="1"/>
      <charset val="162"/>
    </font>
    <font>
      <b/>
      <vertAlign val="superscript"/>
      <sz val="11"/>
      <color indexed="12"/>
      <name val="Garamond"/>
      <family val="1"/>
      <charset val="162"/>
    </font>
    <font>
      <b/>
      <sz val="9"/>
      <name val="Garamond"/>
      <family val="1"/>
      <charset val="162"/>
    </font>
    <font>
      <sz val="9"/>
      <name val="Garamond"/>
      <family val="1"/>
      <charset val="162"/>
    </font>
    <font>
      <b/>
      <sz val="11"/>
      <name val="Garamond"/>
      <family val="1"/>
      <charset val="162"/>
    </font>
    <font>
      <sz val="11"/>
      <name val="Garamond"/>
      <family val="1"/>
      <charset val="162"/>
    </font>
    <font>
      <sz val="8"/>
      <name val="Garamond"/>
      <family val="1"/>
      <charset val="162"/>
    </font>
    <font>
      <sz val="8"/>
      <color rgb="FF000000"/>
      <name val="Garamond"/>
      <family val="1"/>
      <charset val="162"/>
    </font>
    <font>
      <sz val="8"/>
      <color rgb="FFFF0000"/>
      <name val="Garamond"/>
      <family val="1"/>
      <charset val="162"/>
    </font>
    <font>
      <sz val="8"/>
      <color rgb="FF002060"/>
      <name val="Garamond"/>
      <family val="1"/>
      <charset val="162"/>
    </font>
    <font>
      <sz val="9"/>
      <color rgb="FF000000"/>
      <name val="Garamond"/>
      <family val="1"/>
      <charset val="162"/>
    </font>
    <font>
      <sz val="9"/>
      <color rgb="FFFF0000"/>
      <name val="Garamond"/>
      <family val="1"/>
      <charset val="162"/>
    </font>
    <font>
      <sz val="9"/>
      <color rgb="FF002060"/>
      <name val="Garamond"/>
      <family val="1"/>
      <charset val="162"/>
    </font>
    <font>
      <sz val="11"/>
      <color rgb="FF000000"/>
      <name val="Garamond"/>
      <family val="1"/>
      <charset val="162"/>
    </font>
    <font>
      <sz val="10"/>
      <color rgb="FF000000"/>
      <name val="Garamond"/>
      <family val="1"/>
      <charset val="162"/>
    </font>
    <font>
      <b/>
      <sz val="8"/>
      <color rgb="FFFF0000"/>
      <name val="Garamond"/>
      <family val="1"/>
      <charset val="162"/>
    </font>
    <font>
      <b/>
      <sz val="8"/>
      <color rgb="FF002060"/>
      <name val="Garamond"/>
      <family val="1"/>
      <charset val="162"/>
    </font>
    <font>
      <b/>
      <sz val="8"/>
      <color rgb="FF000000"/>
      <name val="Garamond"/>
      <family val="1"/>
      <charset val="162"/>
    </font>
    <font>
      <vertAlign val="superscript"/>
      <sz val="11"/>
      <color rgb="FFFF0000"/>
      <name val="Garamond"/>
      <family val="1"/>
      <charset val="162"/>
    </font>
    <font>
      <sz val="10"/>
      <color rgb="FFFF0000"/>
      <name val="Garamond"/>
      <family val="1"/>
      <charset val="162"/>
    </font>
    <font>
      <sz val="11"/>
      <color theme="0"/>
      <name val="Calibri"/>
      <family val="2"/>
      <charset val="162"/>
    </font>
    <font>
      <sz val="8"/>
      <color theme="0"/>
      <name val="Garamond"/>
      <family val="1"/>
      <charset val="162"/>
    </font>
    <font>
      <b/>
      <sz val="9"/>
      <color rgb="FF000000"/>
      <name val="Garamond"/>
      <family val="1"/>
      <charset val="162"/>
    </font>
    <font>
      <sz val="9"/>
      <color theme="1"/>
      <name val="Garamond"/>
      <family val="1"/>
      <charset val="162"/>
    </font>
    <font>
      <sz val="11"/>
      <color rgb="FFFF0000"/>
      <name val="Garamond"/>
      <family val="1"/>
      <charset val="162"/>
    </font>
    <font>
      <b/>
      <sz val="14"/>
      <name val="Garamond"/>
      <family val="1"/>
      <charset val="162"/>
    </font>
    <font>
      <b/>
      <sz val="12"/>
      <color indexed="9"/>
      <name val="Garamond"/>
      <family val="1"/>
      <charset val="162"/>
    </font>
    <font>
      <b/>
      <sz val="8"/>
      <color indexed="9"/>
      <name val="Garamond"/>
      <family val="1"/>
      <charset val="162"/>
    </font>
    <font>
      <sz val="11"/>
      <color theme="0"/>
      <name val="Garamond"/>
      <family val="1"/>
      <charset val="162"/>
    </font>
    <font>
      <sz val="11"/>
      <color theme="1"/>
      <name val="Garamond"/>
      <family val="1"/>
      <charset val="162"/>
    </font>
    <font>
      <sz val="11"/>
      <color theme="0" tint="-0.14999847407452621"/>
      <name val="Garamond"/>
      <family val="1"/>
      <charset val="162"/>
    </font>
    <font>
      <vertAlign val="superscript"/>
      <sz val="11"/>
      <color theme="0"/>
      <name val="Garamond"/>
      <family val="1"/>
      <charset val="162"/>
    </font>
    <font>
      <u/>
      <sz val="8"/>
      <color indexed="12"/>
      <name val="Garamond"/>
      <family val="1"/>
      <charset val="162"/>
    </font>
    <font>
      <u/>
      <sz val="9.9"/>
      <color indexed="12"/>
      <name val="Garamond"/>
      <family val="1"/>
      <charset val="162"/>
    </font>
    <font>
      <sz val="10"/>
      <name val="Garamond"/>
      <family val="1"/>
      <charset val="16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67955565050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0" fontId="10" fillId="16" borderId="5" applyNumberFormat="0" applyAlignment="0" applyProtection="0"/>
    <xf numFmtId="0" fontId="11" fillId="7" borderId="6" applyNumberFormat="0" applyAlignment="0" applyProtection="0"/>
    <xf numFmtId="0" fontId="12" fillId="16" borderId="6" applyNumberFormat="0" applyAlignment="0" applyProtection="0"/>
    <xf numFmtId="0" fontId="14" fillId="17" borderId="7" applyNumberFormat="0" applyAlignment="0" applyProtection="0"/>
    <xf numFmtId="0" fontId="15" fillId="4" borderId="0" applyNumberFormat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6" fillId="3" borderId="0" applyNumberFormat="0" applyBorder="0" applyAlignment="0" applyProtection="0"/>
    <xf numFmtId="0" fontId="9" fillId="0" borderId="0"/>
    <xf numFmtId="0" fontId="1" fillId="18" borderId="8" applyNumberFormat="0" applyFont="0" applyAlignment="0" applyProtection="0"/>
    <xf numFmtId="0" fontId="17" fillId="19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23" borderId="0" applyNumberFormat="0" applyBorder="0" applyAlignment="0" applyProtection="0"/>
  </cellStyleXfs>
  <cellXfs count="256">
    <xf numFmtId="0" fontId="0" fillId="0" borderId="0" xfId="0"/>
    <xf numFmtId="0" fontId="22" fillId="0" borderId="0" xfId="0" applyFont="1"/>
    <xf numFmtId="0" fontId="36" fillId="0" borderId="18" xfId="0" applyFont="1" applyBorder="1"/>
    <xf numFmtId="0" fontId="37" fillId="0" borderId="20" xfId="0" applyFont="1" applyBorder="1"/>
    <xf numFmtId="0" fontId="35" fillId="0" borderId="0" xfId="0" applyFont="1"/>
    <xf numFmtId="0" fontId="35" fillId="0" borderId="22" xfId="0" applyFont="1" applyBorder="1" applyAlignment="1">
      <alignment horizontal="center" wrapText="1"/>
    </xf>
    <xf numFmtId="0" fontId="35" fillId="0" borderId="22" xfId="0" applyFont="1" applyBorder="1"/>
    <xf numFmtId="0" fontId="35" fillId="0" borderId="17" xfId="0" applyFont="1" applyBorder="1"/>
    <xf numFmtId="0" fontId="22" fillId="0" borderId="11" xfId="0" applyFont="1" applyBorder="1"/>
    <xf numFmtId="0" fontId="38" fillId="0" borderId="0" xfId="0" applyFont="1" applyFill="1" applyBorder="1"/>
    <xf numFmtId="0" fontId="35" fillId="0" borderId="11" xfId="0" applyFont="1" applyBorder="1" applyAlignment="1">
      <alignment horizontal="center" wrapText="1"/>
    </xf>
    <xf numFmtId="0" fontId="22" fillId="0" borderId="14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37" fillId="0" borderId="0" xfId="0" applyFont="1" applyBorder="1"/>
    <xf numFmtId="0" fontId="37" fillId="0" borderId="0" xfId="0" applyFont="1" applyFill="1" applyBorder="1"/>
    <xf numFmtId="0" fontId="24" fillId="0" borderId="19" xfId="0" applyFont="1" applyBorder="1" applyAlignment="1">
      <alignment horizontal="center" vertical="center"/>
    </xf>
    <xf numFmtId="0" fontId="35" fillId="0" borderId="0" xfId="0" applyFont="1" applyBorder="1"/>
    <xf numFmtId="0" fontId="24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wrapText="1"/>
    </xf>
    <xf numFmtId="0" fontId="25" fillId="25" borderId="22" xfId="0" applyFont="1" applyFill="1" applyBorder="1" applyAlignment="1">
      <alignment horizontal="center" vertical="center" wrapText="1"/>
    </xf>
    <xf numFmtId="0" fontId="35" fillId="0" borderId="19" xfId="0" applyFont="1" applyBorder="1"/>
    <xf numFmtId="0" fontId="39" fillId="0" borderId="0" xfId="0" applyFont="1" applyFill="1" applyBorder="1"/>
    <xf numFmtId="0" fontId="22" fillId="0" borderId="0" xfId="0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0" fontId="24" fillId="0" borderId="16" xfId="0" applyFont="1" applyBorder="1" applyAlignment="1">
      <alignment vertical="center"/>
    </xf>
    <xf numFmtId="0" fontId="24" fillId="0" borderId="24" xfId="0" applyFont="1" applyBorder="1" applyAlignment="1">
      <alignment vertical="center" wrapText="1"/>
    </xf>
    <xf numFmtId="0" fontId="43" fillId="0" borderId="0" xfId="0" applyFont="1" applyBorder="1" applyAlignment="1">
      <alignment horizontal="center"/>
    </xf>
    <xf numFmtId="0" fontId="44" fillId="0" borderId="0" xfId="0" applyFont="1" applyFill="1" applyBorder="1"/>
    <xf numFmtId="0" fontId="29" fillId="0" borderId="16" xfId="0" applyFont="1" applyBorder="1" applyAlignment="1">
      <alignment horizontal="center" vertical="center"/>
    </xf>
    <xf numFmtId="0" fontId="45" fillId="0" borderId="0" xfId="0" applyFont="1"/>
    <xf numFmtId="14" fontId="22" fillId="0" borderId="0" xfId="0" applyNumberFormat="1" applyFont="1" applyFill="1" applyBorder="1" applyAlignment="1">
      <alignment vertical="center"/>
    </xf>
    <xf numFmtId="0" fontId="24" fillId="26" borderId="24" xfId="0" applyFont="1" applyFill="1" applyBorder="1" applyAlignment="1">
      <alignment vertical="center"/>
    </xf>
    <xf numFmtId="4" fontId="25" fillId="0" borderId="24" xfId="0" applyNumberFormat="1" applyFont="1" applyFill="1" applyBorder="1" applyAlignment="1">
      <alignment horizontal="center" vertical="center" wrapText="1"/>
    </xf>
    <xf numFmtId="4" fontId="25" fillId="0" borderId="16" xfId="0" applyNumberFormat="1" applyFont="1" applyBorder="1" applyAlignment="1">
      <alignment horizontal="center" vertical="center"/>
    </xf>
    <xf numFmtId="4" fontId="25" fillId="30" borderId="24" xfId="0" applyNumberFormat="1" applyFont="1" applyFill="1" applyBorder="1" applyAlignment="1">
      <alignment horizontal="center" vertical="center" wrapText="1"/>
    </xf>
    <xf numFmtId="4" fontId="25" fillId="26" borderId="16" xfId="0" applyNumberFormat="1" applyFont="1" applyFill="1" applyBorder="1" applyAlignment="1">
      <alignment horizontal="center" vertical="center"/>
    </xf>
    <xf numFmtId="4" fontId="25" fillId="0" borderId="16" xfId="0" applyNumberFormat="1" applyFont="1" applyFill="1" applyBorder="1" applyAlignment="1">
      <alignment horizontal="center" vertical="center"/>
    </xf>
    <xf numFmtId="0" fontId="24" fillId="25" borderId="16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 wrapText="1"/>
    </xf>
    <xf numFmtId="14" fontId="22" fillId="0" borderId="0" xfId="0" applyNumberFormat="1" applyFont="1" applyFill="1" applyBorder="1" applyAlignment="1">
      <alignment horizontal="left" vertical="center"/>
    </xf>
    <xf numFmtId="0" fontId="27" fillId="0" borderId="28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0" fontId="25" fillId="0" borderId="0" xfId="0" applyFont="1"/>
    <xf numFmtId="0" fontId="49" fillId="0" borderId="0" xfId="0" applyFont="1"/>
    <xf numFmtId="0" fontId="51" fillId="24" borderId="47" xfId="0" applyFont="1" applyFill="1" applyBorder="1" applyAlignment="1"/>
    <xf numFmtId="0" fontId="52" fillId="24" borderId="47" xfId="0" applyFont="1" applyFill="1" applyBorder="1" applyAlignment="1">
      <alignment horizontal="right"/>
    </xf>
    <xf numFmtId="0" fontId="52" fillId="24" borderId="47" xfId="0" applyFont="1" applyFill="1" applyBorder="1" applyAlignment="1"/>
    <xf numFmtId="0" fontId="40" fillId="24" borderId="48" xfId="0" applyFont="1" applyFill="1" applyBorder="1" applyAlignment="1"/>
    <xf numFmtId="0" fontId="25" fillId="0" borderId="0" xfId="0" applyFont="1" applyBorder="1" applyAlignment="1">
      <alignment vertical="top" wrapText="1"/>
    </xf>
    <xf numFmtId="0" fontId="25" fillId="0" borderId="0" xfId="0" applyFont="1" applyAlignment="1">
      <alignment horizontal="center"/>
    </xf>
    <xf numFmtId="0" fontId="24" fillId="0" borderId="0" xfId="0" applyFont="1" applyAlignment="1"/>
    <xf numFmtId="0" fontId="25" fillId="0" borderId="0" xfId="0" applyFont="1" applyAlignment="1"/>
    <xf numFmtId="0" fontId="53" fillId="0" borderId="0" xfId="0" applyFont="1"/>
    <xf numFmtId="0" fontId="30" fillId="0" borderId="0" xfId="0" applyFont="1" applyAlignment="1"/>
    <xf numFmtId="0" fontId="25" fillId="25" borderId="11" xfId="0" applyFont="1" applyFill="1" applyBorder="1" applyAlignment="1">
      <alignment horizontal="center" vertical="center"/>
    </xf>
    <xf numFmtId="0" fontId="25" fillId="0" borderId="13" xfId="0" applyFont="1" applyBorder="1"/>
    <xf numFmtId="0" fontId="25" fillId="0" borderId="0" xfId="0" applyFont="1" applyBorder="1" applyAlignment="1">
      <alignment horizontal="right"/>
    </xf>
    <xf numFmtId="0" fontId="24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166" fontId="25" fillId="0" borderId="24" xfId="0" applyNumberFormat="1" applyFont="1" applyFill="1" applyBorder="1" applyAlignment="1">
      <alignment horizontal="center" vertical="center" wrapText="1"/>
    </xf>
    <xf numFmtId="166" fontId="55" fillId="26" borderId="23" xfId="0" applyNumberFormat="1" applyFont="1" applyFill="1" applyBorder="1" applyAlignment="1">
      <alignment horizontal="center" vertical="center"/>
    </xf>
    <xf numFmtId="166" fontId="56" fillId="0" borderId="23" xfId="0" applyNumberFormat="1" applyFont="1" applyFill="1" applyBorder="1" applyAlignment="1">
      <alignment horizontal="center" vertical="center"/>
    </xf>
    <xf numFmtId="0" fontId="57" fillId="0" borderId="0" xfId="32" applyFont="1" applyAlignment="1" applyProtection="1"/>
    <xf numFmtId="0" fontId="58" fillId="0" borderId="0" xfId="32" applyFont="1" applyAlignment="1" applyProtection="1"/>
    <xf numFmtId="0" fontId="59" fillId="0" borderId="0" xfId="0" applyFont="1" applyFill="1" applyBorder="1"/>
    <xf numFmtId="0" fontId="30" fillId="0" borderId="0" xfId="0" applyFont="1" applyFill="1" applyBorder="1" applyAlignment="1">
      <alignment wrapText="1"/>
    </xf>
    <xf numFmtId="0" fontId="30" fillId="0" borderId="0" xfId="0" applyFont="1" applyFill="1" applyAlignment="1"/>
    <xf numFmtId="4" fontId="36" fillId="26" borderId="25" xfId="0" applyNumberFormat="1" applyFont="1" applyFill="1" applyBorder="1"/>
    <xf numFmtId="4" fontId="36" fillId="26" borderId="26" xfId="0" applyNumberFormat="1" applyFont="1" applyFill="1" applyBorder="1"/>
    <xf numFmtId="4" fontId="36" fillId="26" borderId="27" xfId="0" applyNumberFormat="1" applyFont="1" applyFill="1" applyBorder="1"/>
    <xf numFmtId="4" fontId="37" fillId="26" borderId="14" xfId="0" applyNumberFormat="1" applyFont="1" applyFill="1" applyBorder="1"/>
    <xf numFmtId="4" fontId="37" fillId="26" borderId="15" xfId="0" applyNumberFormat="1" applyFont="1" applyFill="1" applyBorder="1"/>
    <xf numFmtId="4" fontId="37" fillId="26" borderId="16" xfId="0" applyNumberFormat="1" applyFont="1" applyFill="1" applyBorder="1"/>
    <xf numFmtId="0" fontId="47" fillId="0" borderId="0" xfId="0" applyFont="1" applyAlignment="1"/>
    <xf numFmtId="0" fontId="25" fillId="28" borderId="36" xfId="0" applyFont="1" applyFill="1" applyBorder="1" applyAlignment="1">
      <alignment vertical="center"/>
    </xf>
    <xf numFmtId="0" fontId="49" fillId="28" borderId="37" xfId="0" applyFont="1" applyFill="1" applyBorder="1" applyAlignment="1">
      <alignment vertical="center"/>
    </xf>
    <xf numFmtId="4" fontId="33" fillId="26" borderId="25" xfId="0" applyNumberFormat="1" applyFont="1" applyFill="1" applyBorder="1" applyAlignment="1">
      <alignment horizontal="right" vertical="center"/>
    </xf>
    <xf numFmtId="4" fontId="33" fillId="26" borderId="26" xfId="0" applyNumberFormat="1" applyFont="1" applyFill="1" applyBorder="1" applyAlignment="1">
      <alignment horizontal="right" vertical="center"/>
    </xf>
    <xf numFmtId="4" fontId="33" fillId="26" borderId="27" xfId="0" applyNumberFormat="1" applyFont="1" applyFill="1" applyBorder="1" applyAlignment="1">
      <alignment horizontal="right" vertical="center"/>
    </xf>
    <xf numFmtId="4" fontId="33" fillId="26" borderId="63" xfId="0" applyNumberFormat="1" applyFont="1" applyFill="1" applyBorder="1" applyAlignment="1">
      <alignment horizontal="right" vertical="center"/>
    </xf>
    <xf numFmtId="4" fontId="40" fillId="26" borderId="27" xfId="0" applyNumberFormat="1" applyFont="1" applyFill="1" applyBorder="1" applyAlignment="1">
      <alignment horizontal="right" vertical="center"/>
    </xf>
    <xf numFmtId="4" fontId="34" fillId="26" borderId="14" xfId="0" applyNumberFormat="1" applyFont="1" applyFill="1" applyBorder="1" applyAlignment="1">
      <alignment horizontal="right" vertical="center"/>
    </xf>
    <xf numFmtId="4" fontId="34" fillId="26" borderId="15" xfId="0" applyNumberFormat="1" applyFont="1" applyFill="1" applyBorder="1" applyAlignment="1">
      <alignment horizontal="right" vertical="center"/>
    </xf>
    <xf numFmtId="4" fontId="34" fillId="26" borderId="16" xfId="0" applyNumberFormat="1" applyFont="1" applyFill="1" applyBorder="1" applyAlignment="1">
      <alignment horizontal="right" vertical="center"/>
    </xf>
    <xf numFmtId="4" fontId="34" fillId="26" borderId="64" xfId="0" applyNumberFormat="1" applyFont="1" applyFill="1" applyBorder="1" applyAlignment="1">
      <alignment horizontal="right" vertical="center"/>
    </xf>
    <xf numFmtId="4" fontId="41" fillId="26" borderId="16" xfId="0" applyNumberFormat="1" applyFont="1" applyFill="1" applyBorder="1" applyAlignment="1">
      <alignment horizontal="right" vertical="center"/>
    </xf>
    <xf numFmtId="4" fontId="34" fillId="26" borderId="29" xfId="0" applyNumberFormat="1" applyFont="1" applyFill="1" applyBorder="1" applyAlignment="1">
      <alignment horizontal="right" vertical="center"/>
    </xf>
    <xf numFmtId="4" fontId="33" fillId="26" borderId="65" xfId="0" applyNumberFormat="1" applyFont="1" applyFill="1" applyBorder="1" applyAlignment="1">
      <alignment horizontal="right" vertical="center"/>
    </xf>
    <xf numFmtId="4" fontId="34" fillId="26" borderId="43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0" fontId="46" fillId="0" borderId="23" xfId="0" applyFont="1" applyBorder="1" applyAlignment="1">
      <alignment horizontal="right" vertical="center"/>
    </xf>
    <xf numFmtId="0" fontId="33" fillId="0" borderId="18" xfId="0" applyFont="1" applyBorder="1" applyAlignment="1">
      <alignment horizontal="left" vertical="center"/>
    </xf>
    <xf numFmtId="0" fontId="34" fillId="0" borderId="20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/>
    </xf>
    <xf numFmtId="0" fontId="20" fillId="0" borderId="17" xfId="0" applyFont="1" applyBorder="1" applyAlignment="1">
      <alignment vertical="center"/>
    </xf>
    <xf numFmtId="0" fontId="42" fillId="0" borderId="11" xfId="0" applyFont="1" applyBorder="1" applyAlignment="1">
      <alignment vertical="center"/>
    </xf>
    <xf numFmtId="0" fontId="32" fillId="0" borderId="10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2" fillId="0" borderId="1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32" fillId="0" borderId="13" xfId="0" applyFont="1" applyBorder="1" applyAlignment="1">
      <alignment vertical="center"/>
    </xf>
    <xf numFmtId="0" fontId="21" fillId="0" borderId="14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62" xfId="0" applyFont="1" applyBorder="1" applyAlignment="1">
      <alignment horizontal="center" vertical="center"/>
    </xf>
    <xf numFmtId="0" fontId="32" fillId="0" borderId="17" xfId="0" applyFont="1" applyBorder="1" applyAlignment="1">
      <alignment vertical="center"/>
    </xf>
    <xf numFmtId="14" fontId="32" fillId="0" borderId="19" xfId="0" applyNumberFormat="1" applyFont="1" applyBorder="1" applyAlignment="1">
      <alignment horizontal="left" vertical="center"/>
    </xf>
    <xf numFmtId="0" fontId="32" fillId="0" borderId="19" xfId="0" applyFont="1" applyBorder="1" applyAlignment="1">
      <alignment vertical="center"/>
    </xf>
    <xf numFmtId="0" fontId="34" fillId="0" borderId="20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35" fillId="0" borderId="22" xfId="0" applyFont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35" fillId="0" borderId="22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6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22" fillId="0" borderId="22" xfId="0" applyFont="1" applyBorder="1" applyAlignment="1">
      <alignment vertical="center"/>
    </xf>
    <xf numFmtId="0" fontId="0" fillId="0" borderId="0" xfId="0" applyAlignment="1">
      <alignment vertical="center"/>
    </xf>
    <xf numFmtId="4" fontId="33" fillId="26" borderId="66" xfId="0" applyNumberFormat="1" applyFont="1" applyFill="1" applyBorder="1" applyAlignment="1">
      <alignment horizontal="right" vertical="center"/>
    </xf>
    <xf numFmtId="0" fontId="33" fillId="0" borderId="18" xfId="0" applyFont="1" applyBorder="1" applyAlignment="1">
      <alignment vertical="center"/>
    </xf>
    <xf numFmtId="0" fontId="33" fillId="0" borderId="21" xfId="0" applyFont="1" applyBorder="1" applyAlignment="1">
      <alignment vertical="center"/>
    </xf>
    <xf numFmtId="167" fontId="32" fillId="0" borderId="16" xfId="0" applyNumberFormat="1" applyFont="1" applyBorder="1" applyAlignment="1">
      <alignment horizontal="right" vertical="center"/>
    </xf>
    <xf numFmtId="167" fontId="35" fillId="0" borderId="16" xfId="0" applyNumberFormat="1" applyFont="1" applyBorder="1"/>
    <xf numFmtId="4" fontId="25" fillId="0" borderId="30" xfId="0" applyNumberFormat="1" applyFont="1" applyBorder="1" applyAlignment="1">
      <alignment horizontal="center" vertical="center"/>
    </xf>
    <xf numFmtId="4" fontId="25" fillId="0" borderId="33" xfId="0" applyNumberFormat="1" applyFont="1" applyBorder="1" applyAlignment="1">
      <alignment horizontal="center" vertical="center"/>
    </xf>
    <xf numFmtId="4" fontId="25" fillId="0" borderId="31" xfId="0" applyNumberFormat="1" applyFont="1" applyBorder="1" applyAlignment="1">
      <alignment horizontal="center" vertical="center"/>
    </xf>
    <xf numFmtId="14" fontId="22" fillId="0" borderId="0" xfId="0" applyNumberFormat="1" applyFont="1" applyFill="1" applyBorder="1" applyAlignment="1">
      <alignment horizontal="left" vertical="center"/>
    </xf>
    <xf numFmtId="0" fontId="48" fillId="0" borderId="0" xfId="0" applyFont="1" applyFill="1" applyBorder="1" applyAlignment="1">
      <alignment horizontal="left" vertical="center" wrapText="1"/>
    </xf>
    <xf numFmtId="0" fontId="27" fillId="0" borderId="28" xfId="0" applyFont="1" applyFill="1" applyBorder="1" applyAlignment="1">
      <alignment horizontal="left" vertical="center"/>
    </xf>
    <xf numFmtId="4" fontId="25" fillId="0" borderId="30" xfId="0" applyNumberFormat="1" applyFont="1" applyFill="1" applyBorder="1" applyAlignment="1">
      <alignment horizontal="center" vertical="center"/>
    </xf>
    <xf numFmtId="4" fontId="25" fillId="0" borderId="33" xfId="0" applyNumberFormat="1" applyFont="1" applyFill="1" applyBorder="1" applyAlignment="1">
      <alignment horizontal="center" vertical="center"/>
    </xf>
    <xf numFmtId="4" fontId="25" fillId="0" borderId="31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4" fontId="25" fillId="0" borderId="30" xfId="0" applyNumberFormat="1" applyFont="1" applyFill="1" applyBorder="1" applyAlignment="1">
      <alignment horizontal="center" vertical="center" wrapText="1"/>
    </xf>
    <xf numFmtId="4" fontId="25" fillId="0" borderId="33" xfId="0" applyNumberFormat="1" applyFont="1" applyFill="1" applyBorder="1" applyAlignment="1">
      <alignment horizontal="center" vertical="center" wrapText="1"/>
    </xf>
    <xf numFmtId="4" fontId="25" fillId="0" borderId="31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22" fillId="0" borderId="40" xfId="0" applyFont="1" applyFill="1" applyBorder="1" applyAlignment="1">
      <alignment horizontal="left" vertical="center"/>
    </xf>
    <xf numFmtId="0" fontId="50" fillId="0" borderId="50" xfId="0" applyFont="1" applyBorder="1" applyAlignment="1">
      <alignment horizontal="center" wrapText="1"/>
    </xf>
    <xf numFmtId="0" fontId="50" fillId="0" borderId="47" xfId="0" applyFont="1" applyBorder="1" applyAlignment="1">
      <alignment horizontal="center" wrapText="1"/>
    </xf>
    <xf numFmtId="0" fontId="24" fillId="0" borderId="17" xfId="0" applyFont="1" applyBorder="1" applyAlignment="1">
      <alignment horizontal="left" vertical="center"/>
    </xf>
    <xf numFmtId="0" fontId="24" fillId="0" borderId="11" xfId="0" applyFont="1" applyBorder="1" applyAlignment="1">
      <alignment horizontal="left" vertical="center"/>
    </xf>
    <xf numFmtId="0" fontId="24" fillId="0" borderId="19" xfId="0" applyFont="1" applyBorder="1" applyAlignment="1">
      <alignment horizontal="left" vertical="center"/>
    </xf>
    <xf numFmtId="0" fontId="24" fillId="0" borderId="16" xfId="0" applyFont="1" applyBorder="1" applyAlignment="1">
      <alignment horizontal="left" vertical="center"/>
    </xf>
    <xf numFmtId="0" fontId="25" fillId="0" borderId="39" xfId="0" applyNumberFormat="1" applyFont="1" applyFill="1" applyBorder="1" applyAlignment="1">
      <alignment horizontal="center" vertical="center" wrapText="1"/>
    </xf>
    <xf numFmtId="0" fontId="25" fillId="0" borderId="59" xfId="0" applyNumberFormat="1" applyFont="1" applyFill="1" applyBorder="1" applyAlignment="1">
      <alignment horizontal="center" vertical="center" wrapText="1"/>
    </xf>
    <xf numFmtId="0" fontId="25" fillId="0" borderId="41" xfId="0" applyNumberFormat="1" applyFont="1" applyFill="1" applyBorder="1" applyAlignment="1">
      <alignment horizontal="center" vertical="center" wrapText="1"/>
    </xf>
    <xf numFmtId="0" fontId="25" fillId="0" borderId="16" xfId="0" applyNumberFormat="1" applyFont="1" applyFill="1" applyBorder="1" applyAlignment="1">
      <alignment horizontal="center" vertical="center" wrapText="1"/>
    </xf>
    <xf numFmtId="0" fontId="24" fillId="25" borderId="19" xfId="0" applyFont="1" applyFill="1" applyBorder="1" applyAlignment="1">
      <alignment horizontal="center" vertical="center"/>
    </xf>
    <xf numFmtId="0" fontId="24" fillId="25" borderId="20" xfId="0" applyFont="1" applyFill="1" applyBorder="1" applyAlignment="1">
      <alignment horizontal="center" vertical="center"/>
    </xf>
    <xf numFmtId="0" fontId="24" fillId="25" borderId="16" xfId="0" applyFont="1" applyFill="1" applyBorder="1" applyAlignment="1">
      <alignment horizontal="center" vertical="center"/>
    </xf>
    <xf numFmtId="0" fontId="50" fillId="0" borderId="51" xfId="0" applyFont="1" applyBorder="1" applyAlignment="1">
      <alignment horizontal="center" wrapText="1"/>
    </xf>
    <xf numFmtId="0" fontId="50" fillId="0" borderId="52" xfId="0" applyFont="1" applyBorder="1" applyAlignment="1">
      <alignment horizontal="center" wrapText="1"/>
    </xf>
    <xf numFmtId="0" fontId="50" fillId="0" borderId="60" xfId="0" applyFont="1" applyBorder="1" applyAlignment="1">
      <alignment horizontal="center" wrapText="1"/>
    </xf>
    <xf numFmtId="0" fontId="50" fillId="0" borderId="53" xfId="0" applyFont="1" applyBorder="1" applyAlignment="1">
      <alignment horizontal="center" wrapText="1"/>
    </xf>
    <xf numFmtId="0" fontId="50" fillId="0" borderId="54" xfId="0" applyFont="1" applyBorder="1" applyAlignment="1">
      <alignment horizontal="center" wrapText="1"/>
    </xf>
    <xf numFmtId="0" fontId="50" fillId="0" borderId="61" xfId="0" applyFont="1" applyBorder="1" applyAlignment="1">
      <alignment horizontal="center" wrapText="1"/>
    </xf>
    <xf numFmtId="0" fontId="24" fillId="0" borderId="55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5" fillId="25" borderId="17" xfId="0" applyFont="1" applyFill="1" applyBorder="1" applyAlignment="1">
      <alignment horizontal="center" vertical="center"/>
    </xf>
    <xf numFmtId="0" fontId="25" fillId="25" borderId="38" xfId="0" applyFont="1" applyFill="1" applyBorder="1" applyAlignment="1">
      <alignment horizontal="center" vertical="center"/>
    </xf>
    <xf numFmtId="0" fontId="25" fillId="25" borderId="11" xfId="0" applyFont="1" applyFill="1" applyBorder="1" applyAlignment="1">
      <alignment horizontal="center" vertical="center"/>
    </xf>
    <xf numFmtId="0" fontId="25" fillId="0" borderId="34" xfId="0" applyNumberFormat="1" applyFont="1" applyFill="1" applyBorder="1" applyAlignment="1">
      <alignment horizontal="center" vertical="center" wrapText="1"/>
    </xf>
    <xf numFmtId="0" fontId="25" fillId="0" borderId="34" xfId="0" applyFont="1" applyFill="1" applyBorder="1" applyAlignment="1">
      <alignment horizontal="center" vertical="center" wrapText="1"/>
    </xf>
    <xf numFmtId="0" fontId="24" fillId="28" borderId="30" xfId="0" applyFont="1" applyFill="1" applyBorder="1" applyAlignment="1">
      <alignment horizontal="center"/>
    </xf>
    <xf numFmtId="0" fontId="24" fillId="28" borderId="33" xfId="0" applyFont="1" applyFill="1" applyBorder="1" applyAlignment="1">
      <alignment horizontal="center"/>
    </xf>
    <xf numFmtId="0" fontId="24" fillId="28" borderId="31" xfId="0" applyFont="1" applyFill="1" applyBorder="1" applyAlignment="1">
      <alignment horizontal="center"/>
    </xf>
    <xf numFmtId="0" fontId="24" fillId="0" borderId="30" xfId="0" applyFont="1" applyBorder="1" applyAlignment="1">
      <alignment vertical="center"/>
    </xf>
    <xf numFmtId="0" fontId="24" fillId="0" borderId="31" xfId="0" applyFont="1" applyBorder="1" applyAlignment="1">
      <alignment vertical="center"/>
    </xf>
    <xf numFmtId="0" fontId="24" fillId="0" borderId="10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7" xfId="0" applyFont="1" applyBorder="1" applyAlignment="1">
      <alignment horizontal="left" vertical="center" wrapText="1"/>
    </xf>
    <xf numFmtId="0" fontId="24" fillId="0" borderId="11" xfId="0" applyFont="1" applyBorder="1" applyAlignment="1">
      <alignment horizontal="left" vertical="center" wrapText="1"/>
    </xf>
    <xf numFmtId="0" fontId="24" fillId="0" borderId="19" xfId="0" applyFont="1" applyBorder="1" applyAlignment="1">
      <alignment horizontal="left" vertical="center" wrapText="1"/>
    </xf>
    <xf numFmtId="0" fontId="24" fillId="0" borderId="16" xfId="0" applyFont="1" applyBorder="1" applyAlignment="1">
      <alignment horizontal="left" vertical="center" wrapText="1"/>
    </xf>
    <xf numFmtId="0" fontId="25" fillId="25" borderId="17" xfId="0" applyFont="1" applyFill="1" applyBorder="1" applyAlignment="1">
      <alignment horizontal="center" vertical="center" wrapText="1"/>
    </xf>
    <xf numFmtId="0" fontId="24" fillId="25" borderId="11" xfId="0" applyFont="1" applyFill="1" applyBorder="1" applyAlignment="1">
      <alignment horizontal="left" vertical="center"/>
    </xf>
    <xf numFmtId="0" fontId="24" fillId="25" borderId="22" xfId="0" applyFont="1" applyFill="1" applyBorder="1" applyAlignment="1">
      <alignment horizontal="left" vertical="center"/>
    </xf>
    <xf numFmtId="0" fontId="24" fillId="25" borderId="16" xfId="0" applyFont="1" applyFill="1" applyBorder="1" applyAlignment="1">
      <alignment horizontal="left" vertical="center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4" fontId="54" fillId="0" borderId="32" xfId="0" applyNumberFormat="1" applyFont="1" applyFill="1" applyBorder="1" applyAlignment="1">
      <alignment horizontal="left" vertical="center"/>
    </xf>
    <xf numFmtId="14" fontId="54" fillId="0" borderId="56" xfId="0" applyNumberFormat="1" applyFont="1" applyFill="1" applyBorder="1" applyAlignment="1">
      <alignment horizontal="left" vertical="center"/>
    </xf>
    <xf numFmtId="0" fontId="25" fillId="0" borderId="12" xfId="0" applyFont="1" applyFill="1" applyBorder="1" applyAlignment="1">
      <alignment horizontal="left" vertical="center"/>
    </xf>
    <xf numFmtId="0" fontId="25" fillId="0" borderId="0" xfId="0" applyFont="1" applyFill="1" applyBorder="1" applyAlignment="1">
      <alignment horizontal="left" vertical="center"/>
    </xf>
    <xf numFmtId="0" fontId="25" fillId="0" borderId="19" xfId="0" applyFont="1" applyFill="1" applyBorder="1" applyAlignment="1">
      <alignment horizontal="left" vertical="center"/>
    </xf>
    <xf numFmtId="0" fontId="25" fillId="0" borderId="20" xfId="0" applyFont="1" applyFill="1" applyBorder="1" applyAlignment="1">
      <alignment horizontal="left" vertical="center"/>
    </xf>
    <xf numFmtId="0" fontId="54" fillId="0" borderId="32" xfId="0" applyFont="1" applyFill="1" applyBorder="1" applyAlignment="1">
      <alignment vertical="center"/>
    </xf>
    <xf numFmtId="0" fontId="54" fillId="0" borderId="56" xfId="0" applyFont="1" applyFill="1" applyBorder="1" applyAlignment="1">
      <alignment vertical="center"/>
    </xf>
    <xf numFmtId="0" fontId="25" fillId="0" borderId="13" xfId="0" applyFont="1" applyBorder="1"/>
    <xf numFmtId="0" fontId="25" fillId="0" borderId="23" xfId="0" applyFont="1" applyBorder="1"/>
    <xf numFmtId="0" fontId="25" fillId="0" borderId="30" xfId="0" applyFont="1" applyBorder="1" applyAlignment="1">
      <alignment horizontal="left" vertical="center" indent="1"/>
    </xf>
    <xf numFmtId="0" fontId="25" fillId="0" borderId="33" xfId="0" applyFont="1" applyBorder="1" applyAlignment="1">
      <alignment horizontal="left" vertical="center" indent="1"/>
    </xf>
    <xf numFmtId="0" fontId="25" fillId="0" borderId="31" xfId="0" applyFont="1" applyBorder="1" applyAlignment="1">
      <alignment horizontal="left" vertical="center" indent="1"/>
    </xf>
    <xf numFmtId="4" fontId="25" fillId="26" borderId="30" xfId="0" applyNumberFormat="1" applyFont="1" applyFill="1" applyBorder="1" applyAlignment="1">
      <alignment horizontal="center" vertical="center"/>
    </xf>
    <xf numFmtId="4" fontId="25" fillId="26" borderId="31" xfId="0" applyNumberFormat="1" applyFont="1" applyFill="1" applyBorder="1" applyAlignment="1">
      <alignment horizontal="center" vertical="center"/>
    </xf>
    <xf numFmtId="0" fontId="24" fillId="0" borderId="37" xfId="0" applyFont="1" applyBorder="1" applyAlignment="1">
      <alignment horizontal="left" vertical="center"/>
    </xf>
    <xf numFmtId="0" fontId="24" fillId="0" borderId="34" xfId="0" applyFont="1" applyBorder="1" applyAlignment="1">
      <alignment horizontal="left" vertical="center"/>
    </xf>
    <xf numFmtId="0" fontId="25" fillId="0" borderId="35" xfId="0" applyNumberFormat="1" applyFont="1" applyFill="1" applyBorder="1" applyAlignment="1">
      <alignment horizontal="center" vertical="center" wrapText="1"/>
    </xf>
    <xf numFmtId="0" fontId="25" fillId="0" borderId="36" xfId="0" applyNumberFormat="1" applyFont="1" applyFill="1" applyBorder="1" applyAlignment="1">
      <alignment horizontal="center" vertical="center" wrapText="1"/>
    </xf>
    <xf numFmtId="0" fontId="25" fillId="0" borderId="58" xfId="0" applyNumberFormat="1" applyFont="1" applyFill="1" applyBorder="1" applyAlignment="1">
      <alignment horizontal="center" vertical="center" wrapText="1"/>
    </xf>
    <xf numFmtId="0" fontId="24" fillId="0" borderId="37" xfId="0" applyFont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20" xfId="0" applyFont="1" applyBorder="1" applyAlignment="1">
      <alignment horizontal="left" vertical="center"/>
    </xf>
    <xf numFmtId="0" fontId="54" fillId="0" borderId="34" xfId="0" applyFont="1" applyFill="1" applyBorder="1" applyAlignment="1">
      <alignment horizontal="left" vertical="center" wrapText="1"/>
    </xf>
    <xf numFmtId="0" fontId="54" fillId="0" borderId="57" xfId="0" applyFont="1" applyFill="1" applyBorder="1" applyAlignment="1">
      <alignment horizontal="left" vertical="center" wrapText="1"/>
    </xf>
    <xf numFmtId="0" fontId="30" fillId="0" borderId="11" xfId="0" applyFont="1" applyBorder="1" applyAlignment="1">
      <alignment horizontal="center" vertical="center" wrapText="1"/>
    </xf>
    <xf numFmtId="0" fontId="30" fillId="0" borderId="22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left" vertical="center"/>
    </xf>
    <xf numFmtId="4" fontId="25" fillId="26" borderId="33" xfId="0" applyNumberFormat="1" applyFont="1" applyFill="1" applyBorder="1" applyAlignment="1">
      <alignment horizontal="center" vertical="center"/>
    </xf>
    <xf numFmtId="4" fontId="25" fillId="30" borderId="30" xfId="0" applyNumberFormat="1" applyFont="1" applyFill="1" applyBorder="1" applyAlignment="1">
      <alignment horizontal="center" vertical="center" wrapText="1"/>
    </xf>
    <xf numFmtId="4" fontId="25" fillId="30" borderId="33" xfId="0" applyNumberFormat="1" applyFont="1" applyFill="1" applyBorder="1" applyAlignment="1">
      <alignment horizontal="center" vertical="center" wrapText="1"/>
    </xf>
    <xf numFmtId="4" fontId="25" fillId="30" borderId="31" xfId="0" applyNumberFormat="1" applyFont="1" applyFill="1" applyBorder="1" applyAlignment="1">
      <alignment horizontal="center" vertical="center" wrapText="1"/>
    </xf>
    <xf numFmtId="0" fontId="25" fillId="27" borderId="30" xfId="0" applyFont="1" applyFill="1" applyBorder="1" applyAlignment="1">
      <alignment horizontal="left" vertical="center" indent="1"/>
    </xf>
    <xf numFmtId="0" fontId="25" fillId="27" borderId="33" xfId="0" applyFont="1" applyFill="1" applyBorder="1" applyAlignment="1">
      <alignment horizontal="left" vertical="center" indent="1"/>
    </xf>
    <xf numFmtId="0" fontId="25" fillId="27" borderId="31" xfId="0" applyFont="1" applyFill="1" applyBorder="1" applyAlignment="1">
      <alignment horizontal="left" vertical="center" indent="1"/>
    </xf>
    <xf numFmtId="14" fontId="30" fillId="0" borderId="30" xfId="0" applyNumberFormat="1" applyFont="1" applyFill="1" applyBorder="1" applyAlignment="1">
      <alignment horizontal="left" vertical="center"/>
    </xf>
    <xf numFmtId="14" fontId="30" fillId="0" borderId="33" xfId="0" applyNumberFormat="1" applyFont="1" applyFill="1" applyBorder="1" applyAlignment="1">
      <alignment horizontal="left" vertical="center"/>
    </xf>
    <xf numFmtId="14" fontId="30" fillId="0" borderId="31" xfId="0" applyNumberFormat="1" applyFont="1" applyFill="1" applyBorder="1" applyAlignment="1">
      <alignment horizontal="left" vertical="center"/>
    </xf>
    <xf numFmtId="0" fontId="24" fillId="0" borderId="30" xfId="0" applyFont="1" applyBorder="1" applyAlignment="1">
      <alignment horizontal="center" vertical="center"/>
    </xf>
    <xf numFmtId="0" fontId="21" fillId="0" borderId="4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4" fontId="33" fillId="26" borderId="44" xfId="0" applyNumberFormat="1" applyFont="1" applyFill="1" applyBorder="1" applyAlignment="1">
      <alignment horizontal="right" vertical="center"/>
    </xf>
    <xf numFmtId="4" fontId="33" fillId="26" borderId="45" xfId="0" applyNumberFormat="1" applyFont="1" applyFill="1" applyBorder="1" applyAlignment="1">
      <alignment horizontal="right" vertical="center"/>
    </xf>
    <xf numFmtId="4" fontId="34" fillId="26" borderId="42" xfId="0" applyNumberFormat="1" applyFont="1" applyFill="1" applyBorder="1" applyAlignment="1">
      <alignment horizontal="right" vertical="center"/>
    </xf>
    <xf numFmtId="4" fontId="34" fillId="26" borderId="43" xfId="0" applyNumberFormat="1" applyFont="1" applyFill="1" applyBorder="1" applyAlignment="1">
      <alignment horizontal="right" vertical="center"/>
    </xf>
    <xf numFmtId="0" fontId="32" fillId="0" borderId="10" xfId="0" applyFont="1" applyBorder="1" applyAlignment="1">
      <alignment horizontal="left" vertical="center" wrapText="1"/>
    </xf>
    <xf numFmtId="0" fontId="32" fillId="0" borderId="2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32" fillId="0" borderId="17" xfId="0" applyFont="1" applyBorder="1" applyAlignment="1">
      <alignment vertical="center"/>
    </xf>
    <xf numFmtId="0" fontId="32" fillId="0" borderId="11" xfId="0" applyFont="1" applyBorder="1" applyAlignment="1">
      <alignment vertical="center"/>
    </xf>
    <xf numFmtId="0" fontId="42" fillId="29" borderId="10" xfId="0" applyFont="1" applyFill="1" applyBorder="1" applyAlignment="1">
      <alignment horizontal="center" vertical="center" textRotation="90" wrapText="1"/>
    </xf>
    <xf numFmtId="0" fontId="42" fillId="29" borderId="13" xfId="0" applyFont="1" applyFill="1" applyBorder="1" applyAlignment="1">
      <alignment horizontal="center" vertical="center" textRotation="90" wrapText="1"/>
    </xf>
    <xf numFmtId="0" fontId="42" fillId="29" borderId="23" xfId="0" applyFont="1" applyFill="1" applyBorder="1" applyAlignment="1">
      <alignment horizontal="center" vertical="center" textRotation="90" wrapText="1"/>
    </xf>
    <xf numFmtId="0" fontId="32" fillId="0" borderId="19" xfId="0" applyFont="1" applyBorder="1" applyAlignment="1">
      <alignment vertical="center"/>
    </xf>
    <xf numFmtId="0" fontId="32" fillId="0" borderId="16" xfId="0" applyFont="1" applyBorder="1" applyAlignment="1">
      <alignment vertical="center"/>
    </xf>
    <xf numFmtId="0" fontId="23" fillId="28" borderId="35" xfId="0" applyFont="1" applyFill="1" applyBorder="1" applyAlignment="1">
      <alignment horizontal="left" vertical="center"/>
    </xf>
    <xf numFmtId="0" fontId="23" fillId="28" borderId="36" xfId="0" applyFont="1" applyFill="1" applyBorder="1" applyAlignment="1">
      <alignment horizontal="left" vertical="center"/>
    </xf>
    <xf numFmtId="0" fontId="24" fillId="28" borderId="36" xfId="0" applyFont="1" applyFill="1" applyBorder="1" applyAlignment="1">
      <alignment horizontal="center" vertical="center"/>
    </xf>
    <xf numFmtId="14" fontId="25" fillId="28" borderId="36" xfId="0" applyNumberFormat="1" applyFont="1" applyFill="1" applyBorder="1" applyAlignment="1">
      <alignment horizontal="center" vertical="center"/>
    </xf>
    <xf numFmtId="0" fontId="22" fillId="0" borderId="30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5" fillId="28" borderId="36" xfId="0" applyFont="1" applyFill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</cellXfs>
  <cellStyles count="45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Binlik Ayracı 2" xfId="26"/>
    <cellStyle name="Çıkış" xfId="27" builtinId="21" customBuiltin="1"/>
    <cellStyle name="Giriş" xfId="28" builtinId="20" customBuiltin="1"/>
    <cellStyle name="Hesaplama" xfId="29" builtinId="22" customBuiltin="1"/>
    <cellStyle name="İşaretli Hücre" xfId="30" builtinId="23" customBuiltin="1"/>
    <cellStyle name="İyi" xfId="31" builtinId="26" customBuiltin="1"/>
    <cellStyle name="Köprü" xfId="32" builtinId="8"/>
    <cellStyle name="Kötü" xfId="33" builtinId="27" customBuiltin="1"/>
    <cellStyle name="Normal" xfId="0" builtinId="0"/>
    <cellStyle name="Normal 2" xfId="34"/>
    <cellStyle name="Not" xfId="35" builtinId="10" customBuiltin="1"/>
    <cellStyle name="Nötr" xfId="36" builtinId="28" customBuiltin="1"/>
    <cellStyle name="Toplam" xfId="37" builtinId="25" customBuiltin="1"/>
    <cellStyle name="Uyarı Metni" xfId="38" builtinId="11" customBuiltin="1"/>
    <cellStyle name="Vurgu1" xfId="39" builtinId="29" customBuiltin="1"/>
    <cellStyle name="Vurgu2" xfId="40" builtinId="33" customBuiltin="1"/>
    <cellStyle name="Vurgu3" xfId="41" builtinId="37" customBuiltin="1"/>
    <cellStyle name="Vurgu4" xfId="42" builtinId="41" customBuiltin="1"/>
    <cellStyle name="Vurgu5" xfId="43" builtinId="45" customBuiltin="1"/>
    <cellStyle name="Vurgu6" xfId="44" builtinId="49" customBuiltin="1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82550</xdr:rowOff>
        </xdr:from>
        <xdr:to>
          <xdr:col>3</xdr:col>
          <xdr:colOff>241300</xdr:colOff>
          <xdr:row>51</xdr:row>
          <xdr:rowOff>304800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101600</xdr:rowOff>
        </xdr:from>
        <xdr:to>
          <xdr:col>4</xdr:col>
          <xdr:colOff>139700</xdr:colOff>
          <xdr:row>52</xdr:row>
          <xdr:rowOff>311150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O81"/>
  <sheetViews>
    <sheetView tabSelected="1" topLeftCell="A37" zoomScaleNormal="100" zoomScaleSheetLayoutView="100" workbookViewId="0">
      <selection activeCell="A46" sqref="A46"/>
    </sheetView>
  </sheetViews>
  <sheetFormatPr defaultColWidth="8.90625" defaultRowHeight="14.5" x14ac:dyDescent="0.35"/>
  <cols>
    <col min="1" max="1" width="3.6328125" style="43" customWidth="1"/>
    <col min="2" max="2" width="36.08984375" style="43" customWidth="1"/>
    <col min="3" max="3" width="15.36328125" style="43" customWidth="1"/>
    <col min="4" max="4" width="9.54296875" style="43" customWidth="1"/>
    <col min="5" max="8" width="11.08984375" style="43" customWidth="1"/>
    <col min="9" max="10" width="5.90625" style="43" customWidth="1"/>
    <col min="11" max="13" width="11.08984375" style="43" customWidth="1"/>
    <col min="14" max="14" width="7.453125" style="43" customWidth="1"/>
    <col min="15" max="15" width="14.08984375" style="44" customWidth="1"/>
    <col min="16" max="16384" width="8.90625" style="43"/>
  </cols>
  <sheetData>
    <row r="1" spans="1:15" hidden="1" x14ac:dyDescent="0.35"/>
    <row r="2" spans="1:15" ht="16" hidden="1" thickBot="1" x14ac:dyDescent="0.4">
      <c r="A2" s="244" t="s">
        <v>79</v>
      </c>
      <c r="B2" s="245"/>
      <c r="C2" s="246" t="s">
        <v>80</v>
      </c>
      <c r="D2" s="246"/>
      <c r="E2" s="246"/>
      <c r="F2" s="246"/>
      <c r="G2" s="246"/>
      <c r="H2" s="246"/>
      <c r="I2" s="75"/>
      <c r="J2" s="247"/>
      <c r="K2" s="247"/>
      <c r="L2" s="75"/>
      <c r="M2" s="75"/>
      <c r="N2" s="75"/>
      <c r="O2" s="76"/>
    </row>
    <row r="3" spans="1:15" ht="15" hidden="1" thickBot="1" x14ac:dyDescent="0.4">
      <c r="A3" s="74"/>
      <c r="B3" s="74"/>
      <c r="C3" s="5"/>
      <c r="D3" s="10" t="s">
        <v>30</v>
      </c>
      <c r="E3" s="248" t="s">
        <v>31</v>
      </c>
      <c r="F3" s="249"/>
      <c r="G3" s="250"/>
      <c r="H3"/>
    </row>
    <row r="4" spans="1:15" ht="15" hidden="1" thickBot="1" x14ac:dyDescent="0.4">
      <c r="A4" s="4"/>
      <c r="B4" s="1"/>
      <c r="C4" s="6"/>
      <c r="D4" s="1"/>
      <c r="E4" s="11" t="s">
        <v>34</v>
      </c>
      <c r="F4" s="12" t="s">
        <v>35</v>
      </c>
      <c r="G4" s="13" t="s">
        <v>22</v>
      </c>
      <c r="H4"/>
    </row>
    <row r="5" spans="1:15" hidden="1" x14ac:dyDescent="0.35">
      <c r="A5" s="4"/>
      <c r="B5" s="7" t="s">
        <v>44</v>
      </c>
      <c r="C5" s="8"/>
      <c r="D5" s="2" t="s">
        <v>0</v>
      </c>
      <c r="E5" s="68"/>
      <c r="F5" s="69"/>
      <c r="G5" s="70">
        <f>E5+F5</f>
        <v>0</v>
      </c>
      <c r="H5"/>
    </row>
    <row r="6" spans="1:15" ht="15" hidden="1" thickBot="1" x14ac:dyDescent="0.4">
      <c r="A6" s="4"/>
      <c r="B6" s="21"/>
      <c r="C6" s="127">
        <v>1</v>
      </c>
      <c r="D6" s="3" t="s">
        <v>2</v>
      </c>
      <c r="E6" s="71">
        <f>E5/C6</f>
        <v>0</v>
      </c>
      <c r="F6" s="72">
        <f>F5/C6</f>
        <v>0</v>
      </c>
      <c r="G6" s="73">
        <f>E6+F6</f>
        <v>0</v>
      </c>
      <c r="H6"/>
    </row>
    <row r="7" spans="1:15" hidden="1" x14ac:dyDescent="0.35">
      <c r="A7" s="4"/>
      <c r="B7" s="17"/>
      <c r="C7" s="17"/>
      <c r="D7" s="14"/>
      <c r="E7" s="14"/>
      <c r="F7" s="15"/>
      <c r="G7" s="15"/>
      <c r="H7" s="15"/>
    </row>
    <row r="8" spans="1:15" hidden="1" x14ac:dyDescent="0.35"/>
    <row r="9" spans="1:15" ht="15.5" hidden="1" x14ac:dyDescent="0.35">
      <c r="A9" s="244" t="s">
        <v>40</v>
      </c>
      <c r="B9" s="245"/>
      <c r="C9" s="246"/>
      <c r="D9" s="246"/>
      <c r="E9" s="246"/>
      <c r="F9" s="246"/>
      <c r="G9" s="246"/>
      <c r="H9" s="246"/>
      <c r="I9" s="75"/>
      <c r="J9" s="251"/>
      <c r="K9" s="251"/>
      <c r="L9" s="75"/>
      <c r="M9" s="75"/>
      <c r="N9" s="75"/>
      <c r="O9" s="76"/>
    </row>
    <row r="10" spans="1:15" ht="15" hidden="1" thickBot="1" x14ac:dyDescent="0.4"/>
    <row r="11" spans="1:15" ht="15" hidden="1" thickBot="1" x14ac:dyDescent="0.4">
      <c r="A11" s="95"/>
      <c r="B11" s="96" t="s">
        <v>82</v>
      </c>
      <c r="C11" s="97" t="s">
        <v>23</v>
      </c>
      <c r="D11" s="98" t="s">
        <v>30</v>
      </c>
      <c r="E11" s="252" t="s">
        <v>31</v>
      </c>
      <c r="F11" s="253"/>
      <c r="G11" s="228"/>
      <c r="H11" s="252" t="s">
        <v>32</v>
      </c>
      <c r="I11" s="253"/>
      <c r="J11" s="228"/>
      <c r="K11" s="252" t="s">
        <v>33</v>
      </c>
      <c r="L11" s="228"/>
      <c r="M11" s="235" t="s">
        <v>22</v>
      </c>
      <c r="N11"/>
    </row>
    <row r="12" spans="1:15" ht="15" hidden="1" thickBot="1" x14ac:dyDescent="0.4">
      <c r="A12" s="99"/>
      <c r="B12" s="100"/>
      <c r="C12" s="101"/>
      <c r="D12" s="100"/>
      <c r="E12" s="102" t="s">
        <v>34</v>
      </c>
      <c r="F12" s="103" t="s">
        <v>35</v>
      </c>
      <c r="G12" s="104" t="s">
        <v>22</v>
      </c>
      <c r="H12" s="103" t="s">
        <v>34</v>
      </c>
      <c r="I12" s="227" t="s">
        <v>35</v>
      </c>
      <c r="J12" s="228"/>
      <c r="K12" s="102" t="s">
        <v>34</v>
      </c>
      <c r="L12" s="105" t="s">
        <v>35</v>
      </c>
      <c r="M12" s="236"/>
      <c r="N12"/>
    </row>
    <row r="13" spans="1:15" hidden="1" x14ac:dyDescent="0.35">
      <c r="A13" s="99"/>
      <c r="B13" s="106" t="s">
        <v>36</v>
      </c>
      <c r="C13" s="90">
        <v>1</v>
      </c>
      <c r="D13" s="92" t="s">
        <v>0</v>
      </c>
      <c r="E13" s="77"/>
      <c r="F13" s="78"/>
      <c r="G13" s="79">
        <f>E13+F13</f>
        <v>0</v>
      </c>
      <c r="H13" s="78"/>
      <c r="I13" s="229"/>
      <c r="J13" s="230"/>
      <c r="K13" s="77">
        <f>H13+E13</f>
        <v>0</v>
      </c>
      <c r="L13" s="80">
        <f>I13+F13</f>
        <v>0</v>
      </c>
      <c r="M13" s="81">
        <f>K13+L13</f>
        <v>0</v>
      </c>
      <c r="N13"/>
    </row>
    <row r="14" spans="1:15" ht="15" hidden="1" thickBot="1" x14ac:dyDescent="0.4">
      <c r="A14" s="99"/>
      <c r="B14" s="107"/>
      <c r="C14" s="91" t="s">
        <v>81</v>
      </c>
      <c r="D14" s="93" t="s">
        <v>2</v>
      </c>
      <c r="E14" s="82">
        <f>E13/C13</f>
        <v>0</v>
      </c>
      <c r="F14" s="83">
        <f>F13/C13</f>
        <v>0</v>
      </c>
      <c r="G14" s="84">
        <f t="shared" ref="G14:G20" si="0">E14+F14</f>
        <v>0</v>
      </c>
      <c r="H14" s="83">
        <f>H13/C13</f>
        <v>0</v>
      </c>
      <c r="I14" s="231">
        <f>I13/C13</f>
        <v>0</v>
      </c>
      <c r="J14" s="232"/>
      <c r="K14" s="82">
        <f t="shared" ref="K14:L20" si="1">E14+H14</f>
        <v>0</v>
      </c>
      <c r="L14" s="85">
        <f t="shared" si="1"/>
        <v>0</v>
      </c>
      <c r="M14" s="86">
        <f t="shared" ref="M14:M20" si="2">K14+L14</f>
        <v>0</v>
      </c>
      <c r="N14"/>
    </row>
    <row r="15" spans="1:15" hidden="1" x14ac:dyDescent="0.35">
      <c r="A15" s="99"/>
      <c r="B15" s="233" t="s">
        <v>37</v>
      </c>
      <c r="C15" s="90">
        <v>1</v>
      </c>
      <c r="D15" s="94" t="s">
        <v>0</v>
      </c>
      <c r="E15" s="77">
        <f>E13</f>
        <v>0</v>
      </c>
      <c r="F15" s="78">
        <f>F13</f>
        <v>0</v>
      </c>
      <c r="G15" s="79">
        <f t="shared" si="0"/>
        <v>0</v>
      </c>
      <c r="H15" s="78">
        <f>H13</f>
        <v>0</v>
      </c>
      <c r="I15" s="229">
        <f>I13</f>
        <v>0</v>
      </c>
      <c r="J15" s="230"/>
      <c r="K15" s="77">
        <f t="shared" si="1"/>
        <v>0</v>
      </c>
      <c r="L15" s="80">
        <f t="shared" si="1"/>
        <v>0</v>
      </c>
      <c r="M15" s="81">
        <f t="shared" si="2"/>
        <v>0</v>
      </c>
      <c r="N15"/>
    </row>
    <row r="16" spans="1:15" ht="15" hidden="1" thickBot="1" x14ac:dyDescent="0.4">
      <c r="A16" s="108"/>
      <c r="B16" s="234"/>
      <c r="C16" s="91">
        <v>2.7888000000000002</v>
      </c>
      <c r="D16" s="93" t="s">
        <v>2</v>
      </c>
      <c r="E16" s="82">
        <f>E15/C15</f>
        <v>0</v>
      </c>
      <c r="F16" s="83">
        <f>F15/C15</f>
        <v>0</v>
      </c>
      <c r="G16" s="84">
        <f t="shared" si="0"/>
        <v>0</v>
      </c>
      <c r="H16" s="83">
        <f>H15/C15</f>
        <v>0</v>
      </c>
      <c r="I16" s="231">
        <f>I15/C15</f>
        <v>0</v>
      </c>
      <c r="J16" s="232"/>
      <c r="K16" s="87">
        <f t="shared" si="1"/>
        <v>0</v>
      </c>
      <c r="L16" s="85">
        <f t="shared" si="1"/>
        <v>0</v>
      </c>
      <c r="M16" s="86">
        <f t="shared" si="2"/>
        <v>0</v>
      </c>
      <c r="N16"/>
    </row>
    <row r="17" spans="1:15" ht="15" hidden="1" customHeight="1" x14ac:dyDescent="0.35">
      <c r="A17" s="239" t="s">
        <v>83</v>
      </c>
      <c r="B17" s="237" t="s">
        <v>38</v>
      </c>
      <c r="C17" s="238"/>
      <c r="D17" s="94" t="s">
        <v>0</v>
      </c>
      <c r="E17" s="77">
        <f>E15</f>
        <v>0</v>
      </c>
      <c r="F17" s="78">
        <f>F15</f>
        <v>0</v>
      </c>
      <c r="G17" s="79">
        <f t="shared" si="0"/>
        <v>0</v>
      </c>
      <c r="H17" s="78">
        <v>0</v>
      </c>
      <c r="I17" s="229">
        <v>0</v>
      </c>
      <c r="J17" s="230"/>
      <c r="K17" s="77">
        <f t="shared" si="1"/>
        <v>0</v>
      </c>
      <c r="L17" s="88">
        <f t="shared" si="1"/>
        <v>0</v>
      </c>
      <c r="M17" s="81">
        <f t="shared" si="2"/>
        <v>0</v>
      </c>
      <c r="N17"/>
    </row>
    <row r="18" spans="1:15" ht="15" hidden="1" customHeight="1" thickBot="1" x14ac:dyDescent="0.4">
      <c r="A18" s="240"/>
      <c r="B18" s="242"/>
      <c r="C18" s="243"/>
      <c r="D18" s="93" t="s">
        <v>2</v>
      </c>
      <c r="E18" s="82">
        <f>E17/C15</f>
        <v>0</v>
      </c>
      <c r="F18" s="83">
        <f>F17/C15</f>
        <v>0</v>
      </c>
      <c r="G18" s="84">
        <f t="shared" si="0"/>
        <v>0</v>
      </c>
      <c r="H18" s="83">
        <v>0</v>
      </c>
      <c r="I18" s="231">
        <v>0</v>
      </c>
      <c r="J18" s="232"/>
      <c r="K18" s="82">
        <f t="shared" si="1"/>
        <v>0</v>
      </c>
      <c r="L18" s="85">
        <f t="shared" si="1"/>
        <v>0</v>
      </c>
      <c r="M18" s="86">
        <f t="shared" si="2"/>
        <v>0</v>
      </c>
      <c r="N18"/>
    </row>
    <row r="19" spans="1:15" ht="15" hidden="1" customHeight="1" x14ac:dyDescent="0.35">
      <c r="A19" s="240"/>
      <c r="B19" s="237" t="s">
        <v>39</v>
      </c>
      <c r="C19" s="238"/>
      <c r="D19" s="94" t="s">
        <v>0</v>
      </c>
      <c r="E19" s="77">
        <v>0</v>
      </c>
      <c r="F19" s="78">
        <v>0</v>
      </c>
      <c r="G19" s="79">
        <f t="shared" si="0"/>
        <v>0</v>
      </c>
      <c r="H19" s="78">
        <f>H13</f>
        <v>0</v>
      </c>
      <c r="I19" s="229">
        <f>I13</f>
        <v>0</v>
      </c>
      <c r="J19" s="230"/>
      <c r="K19" s="77">
        <f t="shared" si="1"/>
        <v>0</v>
      </c>
      <c r="L19" s="80">
        <f t="shared" si="1"/>
        <v>0</v>
      </c>
      <c r="M19" s="81">
        <f t="shared" si="2"/>
        <v>0</v>
      </c>
      <c r="N19"/>
    </row>
    <row r="20" spans="1:15" ht="15" hidden="1" customHeight="1" thickBot="1" x14ac:dyDescent="0.4">
      <c r="A20" s="241"/>
      <c r="B20" s="242" t="str">
        <f>B18&amp;""</f>
        <v/>
      </c>
      <c r="C20" s="243"/>
      <c r="D20" s="93" t="s">
        <v>2</v>
      </c>
      <c r="E20" s="82">
        <v>0</v>
      </c>
      <c r="F20" s="83">
        <v>0</v>
      </c>
      <c r="G20" s="84">
        <f t="shared" si="0"/>
        <v>0</v>
      </c>
      <c r="H20" s="83">
        <f>H19/C15</f>
        <v>0</v>
      </c>
      <c r="I20" s="231">
        <f>I19/C15</f>
        <v>0</v>
      </c>
      <c r="J20" s="232"/>
      <c r="K20" s="82">
        <f t="shared" si="1"/>
        <v>0</v>
      </c>
      <c r="L20" s="85">
        <f t="shared" si="1"/>
        <v>0</v>
      </c>
      <c r="M20" s="86">
        <f t="shared" si="2"/>
        <v>0</v>
      </c>
      <c r="N20"/>
    </row>
    <row r="21" spans="1:15" ht="15" hidden="1" thickBot="1" x14ac:dyDescent="0.4">
      <c r="B21" s="242"/>
      <c r="C21" s="243"/>
      <c r="D21" s="109"/>
      <c r="E21" s="82"/>
      <c r="F21" s="83"/>
      <c r="G21" s="84"/>
      <c r="H21" s="83"/>
      <c r="I21" s="231"/>
      <c r="J21" s="232"/>
      <c r="K21" s="82"/>
      <c r="L21" s="85"/>
      <c r="M21" s="89"/>
      <c r="N21"/>
    </row>
    <row r="22" spans="1:15" hidden="1" x14ac:dyDescent="0.35"/>
    <row r="23" spans="1:15" hidden="1" x14ac:dyDescent="0.35"/>
    <row r="24" spans="1:15" ht="16" hidden="1" thickBot="1" x14ac:dyDescent="0.4">
      <c r="A24" s="244" t="s">
        <v>41</v>
      </c>
      <c r="B24" s="245"/>
      <c r="C24" s="246"/>
      <c r="D24" s="246"/>
      <c r="E24" s="246"/>
      <c r="F24" s="246"/>
      <c r="G24" s="246"/>
      <c r="H24" s="246"/>
      <c r="I24" s="75"/>
      <c r="J24" s="251"/>
      <c r="K24" s="251"/>
      <c r="L24" s="75"/>
      <c r="M24" s="75"/>
      <c r="N24" s="75"/>
      <c r="O24" s="76"/>
    </row>
    <row r="25" spans="1:15" ht="15" hidden="1" thickBot="1" x14ac:dyDescent="0.4">
      <c r="A25" s="110"/>
      <c r="B25" s="110"/>
      <c r="C25" s="111"/>
      <c r="D25" s="98" t="s">
        <v>30</v>
      </c>
      <c r="E25" s="252" t="s">
        <v>31</v>
      </c>
      <c r="F25" s="253"/>
      <c r="G25" s="228"/>
      <c r="H25" s="252" t="s">
        <v>32</v>
      </c>
      <c r="I25" s="253"/>
      <c r="J25" s="228"/>
      <c r="K25" s="252" t="s">
        <v>33</v>
      </c>
      <c r="L25" s="228"/>
      <c r="M25" s="254" t="s">
        <v>22</v>
      </c>
      <c r="N25" s="112"/>
    </row>
    <row r="26" spans="1:15" ht="15" hidden="1" thickBot="1" x14ac:dyDescent="0.4">
      <c r="A26" s="113"/>
      <c r="B26" s="114"/>
      <c r="C26" s="115"/>
      <c r="D26" s="100"/>
      <c r="E26" s="102" t="s">
        <v>34</v>
      </c>
      <c r="F26" s="103" t="s">
        <v>35</v>
      </c>
      <c r="G26" s="104" t="s">
        <v>22</v>
      </c>
      <c r="H26" s="103" t="s">
        <v>34</v>
      </c>
      <c r="I26" s="227" t="s">
        <v>35</v>
      </c>
      <c r="J26" s="228"/>
      <c r="K26" s="102" t="s">
        <v>34</v>
      </c>
      <c r="L26" s="105" t="s">
        <v>35</v>
      </c>
      <c r="M26" s="255"/>
      <c r="N26" s="112"/>
    </row>
    <row r="27" spans="1:15" hidden="1" x14ac:dyDescent="0.35">
      <c r="A27" s="113"/>
      <c r="B27" s="116" t="s">
        <v>42</v>
      </c>
      <c r="C27" s="117"/>
      <c r="D27" s="124" t="s">
        <v>0</v>
      </c>
      <c r="E27" s="123"/>
      <c r="F27" s="78"/>
      <c r="G27" s="79">
        <f>E27+F27</f>
        <v>0</v>
      </c>
      <c r="H27" s="78"/>
      <c r="I27" s="229"/>
      <c r="J27" s="230"/>
      <c r="K27" s="77">
        <f t="shared" ref="K27:L30" si="3">E27+H27</f>
        <v>0</v>
      </c>
      <c r="L27" s="80">
        <f t="shared" si="3"/>
        <v>0</v>
      </c>
      <c r="M27" s="81">
        <f>K27+L27</f>
        <v>0</v>
      </c>
      <c r="N27" s="112"/>
    </row>
    <row r="28" spans="1:15" ht="15" hidden="1" thickBot="1" x14ac:dyDescent="0.4">
      <c r="A28" s="113"/>
      <c r="B28" s="118"/>
      <c r="C28" s="119"/>
      <c r="D28" s="109" t="s">
        <v>2</v>
      </c>
      <c r="E28" s="82"/>
      <c r="F28" s="83"/>
      <c r="G28" s="84">
        <f>E28+F28</f>
        <v>0</v>
      </c>
      <c r="H28" s="83"/>
      <c r="I28" s="231"/>
      <c r="J28" s="232"/>
      <c r="K28" s="82">
        <f t="shared" si="3"/>
        <v>0</v>
      </c>
      <c r="L28" s="85">
        <f t="shared" si="3"/>
        <v>0</v>
      </c>
      <c r="M28" s="86">
        <f t="shared" ref="M28:M30" si="4">K28+L28</f>
        <v>0</v>
      </c>
      <c r="N28" s="112"/>
    </row>
    <row r="29" spans="1:15" hidden="1" x14ac:dyDescent="0.35">
      <c r="A29" s="113"/>
      <c r="B29" s="120" t="s">
        <v>43</v>
      </c>
      <c r="C29" s="121"/>
      <c r="D29" s="125" t="s">
        <v>0</v>
      </c>
      <c r="E29" s="123"/>
      <c r="F29" s="78"/>
      <c r="G29" s="79">
        <f>SUM(E29:F29)</f>
        <v>0</v>
      </c>
      <c r="H29" s="78"/>
      <c r="I29" s="229"/>
      <c r="J29" s="230"/>
      <c r="K29" s="77">
        <f t="shared" si="3"/>
        <v>0</v>
      </c>
      <c r="L29" s="80">
        <f t="shared" si="3"/>
        <v>0</v>
      </c>
      <c r="M29" s="81">
        <f t="shared" si="4"/>
        <v>0</v>
      </c>
      <c r="N29" s="112"/>
    </row>
    <row r="30" spans="1:15" ht="15" hidden="1" thickBot="1" x14ac:dyDescent="0.4">
      <c r="A30" s="113"/>
      <c r="B30" s="118"/>
      <c r="C30" s="126">
        <v>1</v>
      </c>
      <c r="D30" s="109" t="s">
        <v>2</v>
      </c>
      <c r="E30" s="82">
        <f>E29/C30</f>
        <v>0</v>
      </c>
      <c r="F30" s="83">
        <f>F29/C30</f>
        <v>0</v>
      </c>
      <c r="G30" s="84">
        <f>SUM(E30:F30)</f>
        <v>0</v>
      </c>
      <c r="H30" s="83">
        <f>H29/C30</f>
        <v>0</v>
      </c>
      <c r="I30" s="231">
        <f>I29/C30</f>
        <v>0</v>
      </c>
      <c r="J30" s="232"/>
      <c r="K30" s="82">
        <f t="shared" si="3"/>
        <v>0</v>
      </c>
      <c r="L30" s="85">
        <f t="shared" si="3"/>
        <v>0</v>
      </c>
      <c r="M30" s="86">
        <f t="shared" si="4"/>
        <v>0</v>
      </c>
      <c r="N30" s="112"/>
    </row>
    <row r="31" spans="1:15" hidden="1" x14ac:dyDescent="0.35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</row>
    <row r="32" spans="1:15" hidden="1" x14ac:dyDescent="0.35"/>
    <row r="33" spans="1:15" hidden="1" x14ac:dyDescent="0.35"/>
    <row r="34" spans="1:15" hidden="1" x14ac:dyDescent="0.35"/>
    <row r="35" spans="1:15" hidden="1" x14ac:dyDescent="0.35"/>
    <row r="36" spans="1:15" hidden="1" x14ac:dyDescent="0.35"/>
    <row r="37" spans="1:15" ht="9" customHeight="1" x14ac:dyDescent="0.35"/>
    <row r="38" spans="1:15" ht="15.75" customHeight="1" x14ac:dyDescent="0.4">
      <c r="A38" s="144" t="s">
        <v>11</v>
      </c>
      <c r="B38" s="145"/>
      <c r="C38" s="45" t="s">
        <v>12</v>
      </c>
      <c r="D38" s="45"/>
      <c r="E38" s="45"/>
      <c r="F38" s="45"/>
      <c r="G38" s="45"/>
      <c r="H38" s="46"/>
      <c r="I38" s="45"/>
      <c r="J38" s="47"/>
      <c r="K38" s="47"/>
      <c r="L38" s="47"/>
      <c r="M38" s="47"/>
      <c r="N38" s="47" t="s">
        <v>67</v>
      </c>
      <c r="O38" s="48"/>
    </row>
    <row r="39" spans="1:15" ht="11.25" customHeight="1" x14ac:dyDescent="0.35">
      <c r="C39" s="49"/>
      <c r="D39" s="50"/>
    </row>
    <row r="40" spans="1:15" ht="18" customHeight="1" x14ac:dyDescent="0.35">
      <c r="A40" s="157" t="s">
        <v>55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</row>
    <row r="41" spans="1:15" ht="18" customHeight="1" x14ac:dyDescent="0.35">
      <c r="A41" s="160"/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2"/>
    </row>
    <row r="42" spans="1:15" ht="9" customHeight="1" x14ac:dyDescent="0.35"/>
    <row r="43" spans="1:15" ht="19.5" customHeight="1" x14ac:dyDescent="0.35">
      <c r="B43" s="51" t="s">
        <v>75</v>
      </c>
      <c r="C43" s="52"/>
      <c r="D43" s="52"/>
      <c r="E43" s="53"/>
      <c r="G43" s="186" t="s">
        <v>68</v>
      </c>
      <c r="H43" s="186"/>
      <c r="I43" s="187"/>
      <c r="J43" s="187"/>
      <c r="K43" s="187"/>
      <c r="L43" s="53" t="str">
        <f>TEXT(DAY(I43),"00")&amp;"."&amp;TEXT(MONTH(I43),"00")&amp;"."&amp;YEAR(I43)</f>
        <v>00.01.1900</v>
      </c>
    </row>
    <row r="44" spans="1:15" ht="19.5" customHeight="1" thickBot="1" x14ac:dyDescent="0.4">
      <c r="B44" s="51" t="s">
        <v>13</v>
      </c>
      <c r="C44" s="54"/>
      <c r="D44" s="52"/>
      <c r="E44" s="53"/>
    </row>
    <row r="45" spans="1:15" ht="15" thickBot="1" x14ac:dyDescent="0.4">
      <c r="A45" s="171" t="s">
        <v>76</v>
      </c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3"/>
    </row>
    <row r="46" spans="1:15" ht="15" thickBot="1" x14ac:dyDescent="0.4">
      <c r="A46" s="58" t="s">
        <v>3</v>
      </c>
      <c r="B46" s="174" t="s">
        <v>14</v>
      </c>
      <c r="C46" s="175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5"/>
    </row>
    <row r="47" spans="1:15" ht="32.25" customHeight="1" x14ac:dyDescent="0.35">
      <c r="A47" s="176" t="s">
        <v>4</v>
      </c>
      <c r="B47" s="146" t="s">
        <v>15</v>
      </c>
      <c r="C47" s="147"/>
      <c r="D47" s="203" t="s">
        <v>16</v>
      </c>
      <c r="E47" s="204"/>
      <c r="F47" s="204"/>
      <c r="G47" s="211"/>
      <c r="H47" s="211"/>
      <c r="I47" s="211"/>
      <c r="J47" s="211"/>
      <c r="K47" s="211"/>
      <c r="L47" s="211"/>
      <c r="M47" s="211"/>
      <c r="N47" s="211"/>
      <c r="O47" s="212"/>
    </row>
    <row r="48" spans="1:15" ht="30" customHeight="1" thickBot="1" x14ac:dyDescent="0.4">
      <c r="A48" s="177"/>
      <c r="B48" s="148"/>
      <c r="C48" s="149"/>
      <c r="D48" s="208" t="s">
        <v>25</v>
      </c>
      <c r="E48" s="209"/>
      <c r="F48" s="209"/>
      <c r="G48" s="169" t="str">
        <f>IF(LEN(E43)=11,E43,"")</f>
        <v/>
      </c>
      <c r="H48" s="170"/>
      <c r="I48" s="209" t="s">
        <v>26</v>
      </c>
      <c r="J48" s="204"/>
      <c r="K48" s="204"/>
      <c r="L48" s="205">
        <f>IF(LEN(E43)&lt;&gt;11,E43,"")</f>
        <v>0</v>
      </c>
      <c r="M48" s="206"/>
      <c r="N48" s="206"/>
      <c r="O48" s="207"/>
    </row>
    <row r="49" spans="1:15" ht="15" customHeight="1" x14ac:dyDescent="0.35">
      <c r="A49" s="176" t="s">
        <v>5</v>
      </c>
      <c r="B49" s="146" t="s">
        <v>47</v>
      </c>
      <c r="C49" s="147"/>
      <c r="D49" s="190"/>
      <c r="E49" s="191"/>
      <c r="F49" s="191"/>
      <c r="G49" s="191"/>
      <c r="H49" s="191"/>
      <c r="I49" s="215" t="s">
        <v>17</v>
      </c>
      <c r="J49" s="215"/>
      <c r="K49" s="215"/>
      <c r="L49" s="215"/>
      <c r="M49" s="215"/>
      <c r="N49" s="150"/>
      <c r="O49" s="151"/>
    </row>
    <row r="50" spans="1:15" ht="15" customHeight="1" thickBot="1" x14ac:dyDescent="0.4">
      <c r="A50" s="177"/>
      <c r="B50" s="148"/>
      <c r="C50" s="149"/>
      <c r="D50" s="192"/>
      <c r="E50" s="193"/>
      <c r="F50" s="193"/>
      <c r="G50" s="193"/>
      <c r="H50" s="193"/>
      <c r="I50" s="210" t="s">
        <v>65</v>
      </c>
      <c r="J50" s="210"/>
      <c r="K50" s="210"/>
      <c r="L50" s="210"/>
      <c r="M50" s="210"/>
      <c r="N50" s="152"/>
      <c r="O50" s="153"/>
    </row>
    <row r="51" spans="1:15" ht="15.75" customHeight="1" thickBot="1" x14ac:dyDescent="0.4">
      <c r="A51" s="59" t="s">
        <v>6</v>
      </c>
      <c r="B51" s="174" t="s">
        <v>18</v>
      </c>
      <c r="C51" s="175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9"/>
    </row>
    <row r="52" spans="1:15" ht="30" customHeight="1" thickBot="1" x14ac:dyDescent="0.4">
      <c r="A52" s="176" t="s">
        <v>7</v>
      </c>
      <c r="B52" s="178" t="s">
        <v>27</v>
      </c>
      <c r="C52" s="179"/>
      <c r="D52" s="220" t="s">
        <v>77</v>
      </c>
      <c r="E52" s="221"/>
      <c r="F52" s="221"/>
      <c r="G52" s="221"/>
      <c r="H52" s="221"/>
      <c r="I52" s="221"/>
      <c r="J52" s="221"/>
      <c r="K52" s="221"/>
      <c r="L52" s="221"/>
      <c r="M52" s="221"/>
      <c r="N52" s="221"/>
      <c r="O52" s="222"/>
    </row>
    <row r="53" spans="1:15" ht="32.25" customHeight="1" thickBot="1" x14ac:dyDescent="0.4">
      <c r="A53" s="177"/>
      <c r="B53" s="180"/>
      <c r="C53" s="181"/>
      <c r="D53" s="198" t="s">
        <v>78</v>
      </c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200"/>
    </row>
    <row r="54" spans="1:15" ht="17.149999999999999" customHeight="1" thickBot="1" x14ac:dyDescent="0.4">
      <c r="A54" s="58" t="s">
        <v>8</v>
      </c>
      <c r="B54" s="174" t="s">
        <v>19</v>
      </c>
      <c r="C54" s="175"/>
      <c r="D54" s="223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5"/>
    </row>
    <row r="55" spans="1:15" ht="17.149999999999999" customHeight="1" thickBot="1" x14ac:dyDescent="0.4">
      <c r="A55" s="176" t="s">
        <v>9</v>
      </c>
      <c r="B55" s="183" t="s">
        <v>21</v>
      </c>
      <c r="C55" s="226" t="s">
        <v>20</v>
      </c>
      <c r="D55" s="164"/>
      <c r="E55" s="164"/>
      <c r="F55" s="164"/>
      <c r="G55" s="165"/>
      <c r="H55" s="163" t="s">
        <v>1</v>
      </c>
      <c r="I55" s="164"/>
      <c r="J55" s="164"/>
      <c r="K55" s="164"/>
      <c r="L55" s="164"/>
      <c r="M55" s="164"/>
      <c r="N55" s="165"/>
      <c r="O55" s="213" t="s">
        <v>23</v>
      </c>
    </row>
    <row r="56" spans="1:15" ht="30" customHeight="1" x14ac:dyDescent="0.35">
      <c r="A56" s="196"/>
      <c r="B56" s="184"/>
      <c r="C56" s="20" t="s">
        <v>49</v>
      </c>
      <c r="D56" s="182" t="s">
        <v>24</v>
      </c>
      <c r="E56" s="167"/>
      <c r="F56" s="168"/>
      <c r="G56" s="55" t="s">
        <v>22</v>
      </c>
      <c r="H56" s="166" t="s">
        <v>49</v>
      </c>
      <c r="I56" s="167"/>
      <c r="J56" s="168"/>
      <c r="K56" s="182" t="s">
        <v>24</v>
      </c>
      <c r="L56" s="168"/>
      <c r="M56" s="166" t="s">
        <v>22</v>
      </c>
      <c r="N56" s="168"/>
      <c r="O56" s="214"/>
    </row>
    <row r="57" spans="1:15" ht="15" thickBot="1" x14ac:dyDescent="0.4">
      <c r="A57" s="197"/>
      <c r="B57" s="185"/>
      <c r="C57" s="38">
        <v>1</v>
      </c>
      <c r="D57" s="154">
        <v>2</v>
      </c>
      <c r="E57" s="155"/>
      <c r="F57" s="156"/>
      <c r="G57" s="38">
        <v>3</v>
      </c>
      <c r="H57" s="154">
        <v>4</v>
      </c>
      <c r="I57" s="155"/>
      <c r="J57" s="156"/>
      <c r="K57" s="154">
        <v>5</v>
      </c>
      <c r="L57" s="156"/>
      <c r="M57" s="154">
        <v>6</v>
      </c>
      <c r="N57" s="156"/>
      <c r="O57" s="29">
        <v>7</v>
      </c>
    </row>
    <row r="58" spans="1:15" ht="30.75" customHeight="1" thickBot="1" x14ac:dyDescent="0.4">
      <c r="A58" s="56"/>
      <c r="B58" s="25" t="s">
        <v>69</v>
      </c>
      <c r="C58" s="33"/>
      <c r="D58" s="138"/>
      <c r="E58" s="139"/>
      <c r="F58" s="140"/>
      <c r="G58" s="34">
        <f>C58+D58</f>
        <v>0</v>
      </c>
      <c r="H58" s="128">
        <f>C58/_ftnref3</f>
        <v>0</v>
      </c>
      <c r="I58" s="129"/>
      <c r="J58" s="130"/>
      <c r="K58" s="128">
        <f>D58/_ftnref3</f>
        <v>0</v>
      </c>
      <c r="L58" s="130"/>
      <c r="M58" s="128">
        <f>H58+K58</f>
        <v>0</v>
      </c>
      <c r="N58" s="130"/>
      <c r="O58" s="60">
        <f>_ftnref3</f>
        <v>1</v>
      </c>
    </row>
    <row r="59" spans="1:15" ht="15" thickBot="1" x14ac:dyDescent="0.4">
      <c r="A59" s="58"/>
      <c r="B59" s="32" t="s">
        <v>45</v>
      </c>
      <c r="C59" s="35">
        <f>C58</f>
        <v>0</v>
      </c>
      <c r="D59" s="217">
        <f>D58</f>
        <v>0</v>
      </c>
      <c r="E59" s="218"/>
      <c r="F59" s="219"/>
      <c r="G59" s="36">
        <f>G58</f>
        <v>0</v>
      </c>
      <c r="H59" s="201">
        <f>H58</f>
        <v>0</v>
      </c>
      <c r="I59" s="216"/>
      <c r="J59" s="202"/>
      <c r="K59" s="201">
        <f>K58</f>
        <v>0</v>
      </c>
      <c r="L59" s="202"/>
      <c r="M59" s="201">
        <f>M58</f>
        <v>0</v>
      </c>
      <c r="N59" s="202"/>
      <c r="O59" s="61">
        <v>1</v>
      </c>
    </row>
    <row r="60" spans="1:15" ht="29.25" customHeight="1" thickBot="1" x14ac:dyDescent="0.4">
      <c r="A60" s="16" t="s">
        <v>10</v>
      </c>
      <c r="B60" s="26" t="s">
        <v>51</v>
      </c>
      <c r="C60" s="33">
        <f>C58</f>
        <v>0</v>
      </c>
      <c r="D60" s="138">
        <f>D58</f>
        <v>0</v>
      </c>
      <c r="E60" s="139"/>
      <c r="F60" s="140"/>
      <c r="G60" s="34">
        <f>C60+D60</f>
        <v>0</v>
      </c>
      <c r="H60" s="128">
        <f>H59</f>
        <v>0</v>
      </c>
      <c r="I60" s="129"/>
      <c r="J60" s="130"/>
      <c r="K60" s="128">
        <f>K59</f>
        <v>0</v>
      </c>
      <c r="L60" s="130"/>
      <c r="M60" s="128">
        <f>H60+K60</f>
        <v>0</v>
      </c>
      <c r="N60" s="130"/>
      <c r="O60" s="60">
        <f>O58</f>
        <v>1</v>
      </c>
    </row>
    <row r="61" spans="1:15" ht="29.5" thickBot="1" x14ac:dyDescent="0.4">
      <c r="A61" s="16" t="s">
        <v>48</v>
      </c>
      <c r="B61" s="26" t="str">
        <f>"Conversion upon date the debt is first
 noted "&amp;TEXT(DAY(D51),"00")&amp;"."&amp;TEXT(MONTH(D51),"00")&amp;"."&amp;YEAR(D51)</f>
        <v>Conversion upon date the debt is first
 noted 00.01.1900</v>
      </c>
      <c r="C61" s="33">
        <f>C60</f>
        <v>0</v>
      </c>
      <c r="D61" s="138">
        <f>D60</f>
        <v>0</v>
      </c>
      <c r="E61" s="139"/>
      <c r="F61" s="140"/>
      <c r="G61" s="34">
        <f>C61+D61</f>
        <v>0</v>
      </c>
      <c r="H61" s="128">
        <f>C61/O62</f>
        <v>0</v>
      </c>
      <c r="I61" s="129"/>
      <c r="J61" s="130"/>
      <c r="K61" s="128">
        <f>D61/O62</f>
        <v>0</v>
      </c>
      <c r="L61" s="130"/>
      <c r="M61" s="128">
        <f>H61+K61</f>
        <v>0</v>
      </c>
      <c r="N61" s="130"/>
      <c r="O61" s="60">
        <f>geriAlimDovizKuru</f>
        <v>1</v>
      </c>
    </row>
    <row r="62" spans="1:15" ht="29.5" thickBot="1" x14ac:dyDescent="0.4">
      <c r="A62" s="16" t="s">
        <v>52</v>
      </c>
      <c r="B62" s="26" t="s">
        <v>50</v>
      </c>
      <c r="C62" s="33"/>
      <c r="D62" s="138"/>
      <c r="E62" s="139"/>
      <c r="F62" s="140"/>
      <c r="G62" s="37"/>
      <c r="H62" s="134"/>
      <c r="I62" s="135"/>
      <c r="J62" s="136"/>
      <c r="K62" s="134"/>
      <c r="L62" s="136"/>
      <c r="M62" s="134"/>
      <c r="N62" s="136"/>
      <c r="O62" s="62">
        <v>1</v>
      </c>
    </row>
    <row r="63" spans="1:15" ht="24.75" customHeight="1" thickBot="1" x14ac:dyDescent="0.4">
      <c r="A63" s="16" t="s">
        <v>53</v>
      </c>
      <c r="B63" s="26" t="s">
        <v>45</v>
      </c>
      <c r="C63" s="33">
        <f>C61</f>
        <v>0</v>
      </c>
      <c r="D63" s="138">
        <f>D61</f>
        <v>0</v>
      </c>
      <c r="E63" s="139"/>
      <c r="F63" s="140"/>
      <c r="G63" s="34">
        <f>C63+D63</f>
        <v>0</v>
      </c>
      <c r="H63" s="128">
        <f>C63/O62</f>
        <v>0</v>
      </c>
      <c r="I63" s="129"/>
      <c r="J63" s="130"/>
      <c r="K63" s="128">
        <f>D63/O62</f>
        <v>0</v>
      </c>
      <c r="L63" s="130"/>
      <c r="M63" s="128">
        <f>H63+K63</f>
        <v>0</v>
      </c>
      <c r="N63" s="130"/>
      <c r="O63" s="60">
        <f>O61</f>
        <v>1</v>
      </c>
    </row>
    <row r="64" spans="1:15" ht="8.25" customHeight="1" x14ac:dyDescent="0.35">
      <c r="A64" s="18"/>
      <c r="B64" s="19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27"/>
    </row>
    <row r="65" spans="1:15" x14ac:dyDescent="0.35">
      <c r="A65" s="63" t="s">
        <v>54</v>
      </c>
    </row>
    <row r="66" spans="1:15" x14ac:dyDescent="0.35">
      <c r="A66" s="63" t="s">
        <v>46</v>
      </c>
    </row>
    <row r="67" spans="1:15" x14ac:dyDescent="0.35">
      <c r="A67" s="63" t="s">
        <v>28</v>
      </c>
    </row>
    <row r="68" spans="1:15" x14ac:dyDescent="0.35">
      <c r="A68" s="63" t="s">
        <v>29</v>
      </c>
      <c r="B68" s="64"/>
    </row>
    <row r="69" spans="1:15" x14ac:dyDescent="0.35">
      <c r="A69" s="64"/>
      <c r="B69" s="64"/>
    </row>
    <row r="70" spans="1:15" x14ac:dyDescent="0.35">
      <c r="A70" s="64"/>
    </row>
    <row r="72" spans="1:15" x14ac:dyDescent="0.35">
      <c r="C72" s="22"/>
      <c r="D72" s="22"/>
      <c r="E72" s="22"/>
      <c r="F72" s="22"/>
      <c r="G72" s="22"/>
      <c r="H72" s="22"/>
      <c r="I72" s="22"/>
      <c r="J72" s="22"/>
      <c r="K72" s="22"/>
      <c r="L72" s="65"/>
      <c r="M72" s="65"/>
      <c r="N72" s="65"/>
      <c r="O72" s="28"/>
    </row>
    <row r="73" spans="1:15" ht="15" customHeight="1" x14ac:dyDescent="0.35">
      <c r="B73" s="41" t="s">
        <v>57</v>
      </c>
      <c r="C73" s="133" t="s">
        <v>58</v>
      </c>
      <c r="D73" s="133"/>
      <c r="E73" s="133"/>
      <c r="F73" s="133" t="s">
        <v>59</v>
      </c>
      <c r="G73" s="133"/>
      <c r="H73" s="133" t="s">
        <v>60</v>
      </c>
      <c r="I73" s="133"/>
      <c r="J73" s="133"/>
      <c r="K73" s="133"/>
      <c r="L73" s="133" t="s">
        <v>61</v>
      </c>
      <c r="M73" s="133"/>
      <c r="N73" s="133"/>
      <c r="O73" s="133"/>
    </row>
    <row r="74" spans="1:15" ht="26.25" customHeight="1" x14ac:dyDescent="0.35">
      <c r="A74" s="30"/>
      <c r="B74" s="42" t="str">
        <f>"Name: "&amp;hazirlayan</f>
        <v xml:space="preserve">Name: </v>
      </c>
      <c r="C74" s="42" t="s">
        <v>62</v>
      </c>
      <c r="D74" s="141"/>
      <c r="E74" s="141"/>
      <c r="F74" s="42" t="s">
        <v>62</v>
      </c>
      <c r="G74" s="39"/>
      <c r="H74" s="42" t="s">
        <v>62</v>
      </c>
      <c r="I74" s="143"/>
      <c r="J74" s="143"/>
      <c r="K74" s="143"/>
      <c r="L74" s="42" t="s">
        <v>62</v>
      </c>
      <c r="M74" s="143"/>
      <c r="N74" s="143"/>
      <c r="O74" s="143"/>
    </row>
    <row r="75" spans="1:15" ht="42" customHeight="1" x14ac:dyDescent="0.35">
      <c r="B75" s="42" t="s">
        <v>70</v>
      </c>
      <c r="C75" s="42" t="s">
        <v>63</v>
      </c>
      <c r="D75" s="142" t="s">
        <v>71</v>
      </c>
      <c r="E75" s="142"/>
      <c r="F75" s="42" t="s">
        <v>63</v>
      </c>
      <c r="G75" s="39" t="s">
        <v>72</v>
      </c>
      <c r="H75" s="42" t="s">
        <v>63</v>
      </c>
      <c r="I75" s="132" t="s">
        <v>73</v>
      </c>
      <c r="J75" s="132"/>
      <c r="K75" s="132"/>
      <c r="L75" s="42" t="s">
        <v>63</v>
      </c>
      <c r="M75" s="137" t="s">
        <v>74</v>
      </c>
      <c r="N75" s="137"/>
      <c r="O75" s="137"/>
    </row>
    <row r="76" spans="1:15" x14ac:dyDescent="0.35">
      <c r="B76" s="42" t="str">
        <f>"Date : "&amp; L43</f>
        <v>Date : 00.01.1900</v>
      </c>
      <c r="C76" s="42" t="s">
        <v>64</v>
      </c>
      <c r="D76" s="131" t="str">
        <f>L43</f>
        <v>00.01.1900</v>
      </c>
      <c r="E76" s="131"/>
      <c r="F76" s="42" t="s">
        <v>64</v>
      </c>
      <c r="G76" s="40" t="str">
        <f>D76</f>
        <v>00.01.1900</v>
      </c>
      <c r="H76" s="31" t="s">
        <v>66</v>
      </c>
      <c r="I76" s="131" t="str">
        <f>G76</f>
        <v>00.01.1900</v>
      </c>
      <c r="J76" s="131"/>
      <c r="K76" s="131"/>
      <c r="L76" s="42" t="s">
        <v>64</v>
      </c>
      <c r="M76" s="131" t="str">
        <f>I76</f>
        <v>00.01.1900</v>
      </c>
      <c r="N76" s="131"/>
      <c r="O76" s="131"/>
    </row>
    <row r="77" spans="1:15" x14ac:dyDescent="0.35">
      <c r="B77" s="42" t="s">
        <v>56</v>
      </c>
      <c r="C77" s="42" t="s">
        <v>56</v>
      </c>
      <c r="D77" s="42"/>
      <c r="E77" s="42"/>
      <c r="F77" s="42" t="s">
        <v>56</v>
      </c>
      <c r="G77" s="42"/>
      <c r="H77" s="42" t="s">
        <v>56</v>
      </c>
      <c r="I77" s="23"/>
      <c r="J77" s="42"/>
      <c r="K77" s="42"/>
      <c r="L77" s="24" t="s">
        <v>56</v>
      </c>
      <c r="M77" s="24"/>
      <c r="N77" s="24"/>
      <c r="O77" s="28"/>
    </row>
    <row r="78" spans="1:15" x14ac:dyDescent="0.35">
      <c r="B78" s="66"/>
      <c r="C78" s="66"/>
      <c r="D78" s="66"/>
      <c r="E78" s="66"/>
      <c r="F78" s="66"/>
      <c r="G78" s="66"/>
      <c r="H78" s="67"/>
      <c r="I78" s="67"/>
      <c r="J78" s="67"/>
      <c r="K78" s="67"/>
      <c r="L78" s="67"/>
      <c r="M78" s="67"/>
    </row>
    <row r="81" spans="3:14" x14ac:dyDescent="0.35">
      <c r="C81" s="9"/>
      <c r="E81" s="9"/>
      <c r="F81" s="9"/>
      <c r="G81" s="9"/>
      <c r="H81" s="9"/>
      <c r="I81" s="9"/>
      <c r="J81" s="9"/>
      <c r="K81" s="9"/>
      <c r="L81" s="9"/>
      <c r="M81" s="9"/>
      <c r="N81" s="9"/>
    </row>
  </sheetData>
  <mergeCells count="119">
    <mergeCell ref="A17:A20"/>
    <mergeCell ref="I21:J21"/>
    <mergeCell ref="M25:M26"/>
    <mergeCell ref="I27:J27"/>
    <mergeCell ref="I28:J28"/>
    <mergeCell ref="I29:J29"/>
    <mergeCell ref="I30:J30"/>
    <mergeCell ref="K25:L25"/>
    <mergeCell ref="A24:B24"/>
    <mergeCell ref="C24:H24"/>
    <mergeCell ref="J24:K24"/>
    <mergeCell ref="E25:G25"/>
    <mergeCell ref="H25:J25"/>
    <mergeCell ref="I26:J26"/>
    <mergeCell ref="A2:B2"/>
    <mergeCell ref="C2:H2"/>
    <mergeCell ref="J2:K2"/>
    <mergeCell ref="E3:G3"/>
    <mergeCell ref="A9:B9"/>
    <mergeCell ref="C9:H9"/>
    <mergeCell ref="J9:K9"/>
    <mergeCell ref="E11:G11"/>
    <mergeCell ref="H11:J11"/>
    <mergeCell ref="K11:L11"/>
    <mergeCell ref="D54:O54"/>
    <mergeCell ref="C55:G55"/>
    <mergeCell ref="H57:J57"/>
    <mergeCell ref="M56:N56"/>
    <mergeCell ref="M57:N57"/>
    <mergeCell ref="A49:A50"/>
    <mergeCell ref="A52:A53"/>
    <mergeCell ref="I12:J12"/>
    <mergeCell ref="I13:J13"/>
    <mergeCell ref="I14:J14"/>
    <mergeCell ref="B15:B16"/>
    <mergeCell ref="I15:J15"/>
    <mergeCell ref="I16:J16"/>
    <mergeCell ref="M11:M12"/>
    <mergeCell ref="B17:C17"/>
    <mergeCell ref="I17:J17"/>
    <mergeCell ref="B18:C18"/>
    <mergeCell ref="I18:J18"/>
    <mergeCell ref="B19:C19"/>
    <mergeCell ref="I19:J19"/>
    <mergeCell ref="B20:C20"/>
    <mergeCell ref="I20:J20"/>
    <mergeCell ref="B21:C21"/>
    <mergeCell ref="K59:L59"/>
    <mergeCell ref="H61:J61"/>
    <mergeCell ref="D47:F47"/>
    <mergeCell ref="L48:O48"/>
    <mergeCell ref="D48:F48"/>
    <mergeCell ref="I50:M50"/>
    <mergeCell ref="I48:K48"/>
    <mergeCell ref="G47:O47"/>
    <mergeCell ref="O55:O56"/>
    <mergeCell ref="M58:N58"/>
    <mergeCell ref="I49:M49"/>
    <mergeCell ref="H59:J59"/>
    <mergeCell ref="D58:F58"/>
    <mergeCell ref="K58:L58"/>
    <mergeCell ref="M61:N61"/>
    <mergeCell ref="M59:N59"/>
    <mergeCell ref="M60:N60"/>
    <mergeCell ref="K61:L61"/>
    <mergeCell ref="D61:F61"/>
    <mergeCell ref="H58:J58"/>
    <mergeCell ref="D59:F59"/>
    <mergeCell ref="K57:L57"/>
    <mergeCell ref="D52:O52"/>
    <mergeCell ref="K56:L56"/>
    <mergeCell ref="A38:B38"/>
    <mergeCell ref="B49:C50"/>
    <mergeCell ref="N49:O50"/>
    <mergeCell ref="D57:F57"/>
    <mergeCell ref="A40:O41"/>
    <mergeCell ref="H55:N55"/>
    <mergeCell ref="H56:J56"/>
    <mergeCell ref="G48:H48"/>
    <mergeCell ref="A45:O45"/>
    <mergeCell ref="B46:C46"/>
    <mergeCell ref="A47:A48"/>
    <mergeCell ref="B54:C54"/>
    <mergeCell ref="B52:C53"/>
    <mergeCell ref="D56:F56"/>
    <mergeCell ref="B55:B57"/>
    <mergeCell ref="G43:H43"/>
    <mergeCell ref="I43:K43"/>
    <mergeCell ref="D51:O51"/>
    <mergeCell ref="B51:C51"/>
    <mergeCell ref="D49:H50"/>
    <mergeCell ref="B47:C48"/>
    <mergeCell ref="D46:O46"/>
    <mergeCell ref="A55:A57"/>
    <mergeCell ref="D53:O53"/>
    <mergeCell ref="H60:J60"/>
    <mergeCell ref="D76:E76"/>
    <mergeCell ref="I75:K75"/>
    <mergeCell ref="L73:O73"/>
    <mergeCell ref="M76:O76"/>
    <mergeCell ref="F73:G73"/>
    <mergeCell ref="H62:J62"/>
    <mergeCell ref="K62:L62"/>
    <mergeCell ref="M75:O75"/>
    <mergeCell ref="D63:F63"/>
    <mergeCell ref="H63:J63"/>
    <mergeCell ref="D74:E74"/>
    <mergeCell ref="C73:E73"/>
    <mergeCell ref="H73:K73"/>
    <mergeCell ref="M63:N63"/>
    <mergeCell ref="I76:K76"/>
    <mergeCell ref="D75:E75"/>
    <mergeCell ref="M74:O74"/>
    <mergeCell ref="I74:K74"/>
    <mergeCell ref="D62:F62"/>
    <mergeCell ref="K63:L63"/>
    <mergeCell ref="M62:N62"/>
    <mergeCell ref="D60:F60"/>
    <mergeCell ref="K60:L60"/>
  </mergeCells>
  <printOptions horizontalCentered="1"/>
  <pageMargins left="0.23622047244094491" right="0.23622047244094491" top="0.15748031496062992" bottom="0.15748031496062992" header="0.31496062992125984" footer="0.31496062992125984"/>
  <pageSetup paperSize="9" scale="66" fitToWidth="0" orientation="landscape" verticalDpi="599" r:id="rId1"/>
  <rowBreaks count="1" manualBreakCount="1">
    <brk id="68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82550</xdr:rowOff>
                  </from>
                  <to>
                    <xdr:col>3</xdr:col>
                    <xdr:colOff>241300</xdr:colOff>
                    <xdr:row>51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101600</xdr:rowOff>
                  </from>
                  <to>
                    <xdr:col>4</xdr:col>
                    <xdr:colOff>139700</xdr:colOff>
                    <xdr:row>52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31</vt:i4>
      </vt:variant>
    </vt:vector>
  </HeadingPairs>
  <TitlesOfParts>
    <vt:vector size="32" baseType="lpstr">
      <vt:lpstr>6807 Debt and Recovery Report</vt:lpstr>
      <vt:lpstr>'6807 Debt and Recovery Report'!_ftn1</vt:lpstr>
      <vt:lpstr>'6807 Debt and Recovery Report'!_ftn2</vt:lpstr>
      <vt:lpstr>'6807 Debt and Recovery Report'!_ftn3</vt:lpstr>
      <vt:lpstr>'6807 Debt and Recovery Report'!_ftnref1</vt:lpstr>
      <vt:lpstr>'6807 Debt and Recovery Report'!_ftnref2</vt:lpstr>
      <vt:lpstr>'6807 Debt and Recovery Report'!_ftnref3</vt:lpstr>
      <vt:lpstr>'6807 Debt and Recovery Report'!_Ref256611978</vt:lpstr>
      <vt:lpstr>BaslaSatir</vt:lpstr>
      <vt:lpstr>basvuruKayitNumarasi</vt:lpstr>
      <vt:lpstr>borcluAd</vt:lpstr>
      <vt:lpstr>borcunKodu</vt:lpstr>
      <vt:lpstr>FormatSatirOdeme</vt:lpstr>
      <vt:lpstr>FormatSatirOdemeBilgi</vt:lpstr>
      <vt:lpstr>FormatSatirSil</vt:lpstr>
      <vt:lpstr>FormatSatirSonDurum</vt:lpstr>
      <vt:lpstr>geriAlimDovizKuru</vt:lpstr>
      <vt:lpstr>geriAlimMiktarAB</vt:lpstr>
      <vt:lpstr>geriAlimMiktarUlusal</vt:lpstr>
      <vt:lpstr>geriAlimTarihi</vt:lpstr>
      <vt:lpstr>gozdenGeciren</vt:lpstr>
      <vt:lpstr>hazirlayan</vt:lpstr>
      <vt:lpstr>IpardVer</vt:lpstr>
      <vt:lpstr>islemGunu</vt:lpstr>
      <vt:lpstr>kimlikNo</vt:lpstr>
      <vt:lpstr>kontrolEden</vt:lpstr>
      <vt:lpstr>onaylayan</vt:lpstr>
      <vt:lpstr>SilTar</vt:lpstr>
      <vt:lpstr>uygunBulan</vt:lpstr>
      <vt:lpstr>vakaNumarasi</vt:lpstr>
      <vt:lpstr>'6807 Debt and Recovery Report'!Yazdırma_Alanı</vt:lpstr>
      <vt:lpstr>'6807 Debt and Recovery Report'!Yazdırma_Başlıkları</vt:lpstr>
    </vt:vector>
  </TitlesOfParts>
  <Company>Noble Invest OU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 Larin</dc:creator>
  <cp:lastModifiedBy>Can Ünver</cp:lastModifiedBy>
  <cp:lastPrinted>2018-04-10T20:58:36Z</cp:lastPrinted>
  <dcterms:created xsi:type="dcterms:W3CDTF">2009-11-03T15:15:13Z</dcterms:created>
  <dcterms:modified xsi:type="dcterms:W3CDTF">2026-08-30T17:19:46Z</dcterms:modified>
</cp:coreProperties>
</file>