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ATM\"/>
    </mc:Choice>
  </mc:AlternateContent>
  <bookViews>
    <workbookView xWindow="0" yWindow="0" windowWidth="24000" windowHeight="9180"/>
  </bookViews>
  <sheets>
    <sheet name="6406" sheetId="1" r:id="rId1"/>
  </sheets>
  <definedNames>
    <definedName name="BaslaSatir1">'6406'!$A$22</definedName>
    <definedName name="BaslaSatir2">'6406'!$A$44</definedName>
    <definedName name="BaslaSatir3">'6406'!$A$69</definedName>
    <definedName name="Donem">'6406'!$O$14</definedName>
    <definedName name="FormatSatir1">'6406'!$A$2:$P$2</definedName>
    <definedName name="FormatSatir2">'6406'!$A$4:$P$4</definedName>
    <definedName name="FormatSatir3">'6406'!$A$6:$I$6</definedName>
    <definedName name="hazirlayan">'6406'!$I$26</definedName>
    <definedName name="hazirlayanUnv">'6406'!$H$26</definedName>
    <definedName name="kontrolEden">'6406'!$K$26</definedName>
    <definedName name="kontrolEdenUnv">'6406'!$J$26</definedName>
    <definedName name="onaylayan">'6406'!$M$26</definedName>
    <definedName name="onaylayanUnv">'6406'!$L$26</definedName>
    <definedName name="uygunBulan">'6406'!$O$26</definedName>
    <definedName name="uygunBulanUnv">'6406'!$N$26</definedName>
  </definedNames>
  <calcPr calcId="152511"/>
</workbook>
</file>

<file path=xl/calcChain.xml><?xml version="1.0" encoding="utf-8"?>
<calcChain xmlns="http://schemas.openxmlformats.org/spreadsheetml/2006/main">
  <c r="N74" i="1" l="1"/>
  <c r="L74" i="1"/>
  <c r="J74" i="1"/>
  <c r="H74" i="1"/>
  <c r="D74" i="1"/>
  <c r="A74" i="1"/>
  <c r="N51" i="1"/>
  <c r="L51" i="1"/>
  <c r="J51" i="1"/>
  <c r="H51" i="1"/>
  <c r="D51" i="1"/>
  <c r="A51" i="1"/>
  <c r="N29" i="1"/>
  <c r="L29" i="1"/>
  <c r="J29" i="1"/>
  <c r="H29" i="1"/>
  <c r="D29" i="1"/>
  <c r="D28" i="1"/>
  <c r="A28" i="1"/>
  <c r="D73" i="1"/>
  <c r="A73" i="1"/>
  <c r="N73" i="1"/>
  <c r="L73" i="1"/>
  <c r="J73" i="1"/>
  <c r="H73" i="1"/>
  <c r="F48" i="1"/>
  <c r="F71" i="1" s="1"/>
  <c r="E48" i="1"/>
  <c r="E71" i="1" s="1"/>
  <c r="D48" i="1"/>
  <c r="D71" i="1" s="1"/>
  <c r="C71" i="1"/>
  <c r="B71" i="1"/>
  <c r="A71" i="1"/>
  <c r="L48" i="1"/>
  <c r="L71" i="1" s="1"/>
  <c r="M71" i="1"/>
  <c r="O48" i="1"/>
  <c r="O71" i="1" s="1"/>
  <c r="N48" i="1"/>
  <c r="M48" i="1"/>
  <c r="K48" i="1"/>
  <c r="K71" i="1" s="1"/>
  <c r="J48" i="1"/>
  <c r="I48" i="1"/>
  <c r="I71" i="1" s="1"/>
  <c r="H48" i="1"/>
  <c r="A48" i="1"/>
  <c r="B48" i="1"/>
  <c r="C48" i="1"/>
  <c r="O4" i="1" l="1"/>
  <c r="N4" i="1"/>
  <c r="O2" i="1"/>
  <c r="N2" i="1"/>
  <c r="O37" i="1" l="1"/>
  <c r="H63" i="1" s="1"/>
  <c r="N37" i="1"/>
  <c r="G63" i="1" s="1"/>
  <c r="J28" i="1"/>
  <c r="L28" i="1"/>
  <c r="N28" i="1"/>
  <c r="N50" i="1"/>
  <c r="L50" i="1"/>
  <c r="J50" i="1"/>
  <c r="H50" i="1"/>
  <c r="N71" i="1"/>
  <c r="J71" i="1"/>
  <c r="H71" i="1"/>
</calcChain>
</file>

<file path=xl/sharedStrings.xml><?xml version="1.0" encoding="utf-8"?>
<sst xmlns="http://schemas.openxmlformats.org/spreadsheetml/2006/main" count="85" uniqueCount="52">
  <si>
    <t xml:space="preserve"> </t>
  </si>
  <si>
    <t>14=7-12</t>
  </si>
  <si>
    <t>15=8-13</t>
  </si>
  <si>
    <t>8=(7-5)</t>
  </si>
  <si>
    <t xml:space="preserve">6406 BORÇLU DEFTERİ İLE BORÇ KAYITLARI ARASINDA MUTABAKAT </t>
  </si>
  <si>
    <t>Tablo 1: HM'deki Borç Kayıtları (Türk Lirası Cinsinden)</t>
  </si>
  <si>
    <t>MK tarafından doldurulacaktır</t>
  </si>
  <si>
    <t>Borçlu Adı</t>
  </si>
  <si>
    <t>Kimlik/Vergi No</t>
  </si>
  <si>
    <t>Başvuru No</t>
  </si>
  <si>
    <t>Vaka Numarası (Sadece Usulsüzlükler için)</t>
  </si>
  <si>
    <t>Usulsüzlük Türü</t>
  </si>
  <si>
    <t>Birincil/İdari/adli bulgu (tarih, numara)</t>
  </si>
  <si>
    <t>Borç Kodu</t>
  </si>
  <si>
    <t>Farklılıklar</t>
  </si>
  <si>
    <t>Farklılıkların Açıklaması</t>
  </si>
  <si>
    <t xml:space="preserve">Atıf # </t>
  </si>
  <si>
    <t>Tarih:</t>
  </si>
  <si>
    <t>İmza:</t>
  </si>
  <si>
    <t xml:space="preserve">  Farklılıkların açıklaması:</t>
  </si>
  <si>
    <t>Alınan Önlemler (tarih ve detay):</t>
  </si>
  <si>
    <t>Ek Dokümanlar:</t>
  </si>
  <si>
    <t>ÖK tarafından doldurulacaktır</t>
  </si>
  <si>
    <t xml:space="preserve"> Farklılıkların açıklaması:</t>
  </si>
  <si>
    <t>Tablo 3: Silinmiş Borç Tutarları (Türk Lirası Cinsinden)</t>
  </si>
  <si>
    <t>Silinmiş Borçların transfer edildiğini gösterir Banka Hesap Özeti tarihi</t>
  </si>
  <si>
    <t>Silinmiş borç tutarları</t>
  </si>
  <si>
    <t>Farklılıkların Açıklanması</t>
  </si>
  <si>
    <t>Silinme Tarihi</t>
  </si>
  <si>
    <t>TKDK</t>
  </si>
  <si>
    <t xml:space="preserve"> MUHASEBE                                                                                                                                                                                   </t>
  </si>
  <si>
    <t>Anapara Tutarı (Geri Alım Kararı tarihi itibariyle)</t>
  </si>
  <si>
    <t>Toplam Geri Alınan Tutar (Mutabakat Tarihi itibariyle)</t>
  </si>
  <si>
    <t xml:space="preserve">Vaka Numarası </t>
  </si>
  <si>
    <t>Toplam geri Alınan Tutar (Mutabakat tarihi itibariyle)</t>
  </si>
  <si>
    <t>Geri Alınan Tutar (Mutabakat tarihi itibariyle)</t>
  </si>
  <si>
    <t>Anapara  (Geri Alım Kararı tarihi itibariyle)</t>
  </si>
  <si>
    <t>Tablo 2: MK ve ÖK'da Kaydedilmiş Kalan Ön-Borç Tutarları  (Türk Lirası Cinsinden)</t>
  </si>
  <si>
    <t>Vaka Numarası</t>
  </si>
  <si>
    <t>Usulsüz Tutar</t>
  </si>
  <si>
    <t>Topluluk Katkısı</t>
  </si>
  <si>
    <t>Ulusal Katkı</t>
  </si>
  <si>
    <t>Ön Borç Tutarı</t>
  </si>
  <si>
    <t>MK tarafından doldurulacaktır.</t>
  </si>
  <si>
    <t>14= 7-12</t>
  </si>
  <si>
    <t>15 = 8-13</t>
  </si>
  <si>
    <t>VERSIYON 10.5.01</t>
  </si>
  <si>
    <t>HM, TK ve ÖK tarafından doldurulacaktır</t>
  </si>
  <si>
    <t>HM, TK veya ÖK tarafından doldurulacaktır</t>
  </si>
  <si>
    <t>HM, ÖK veya TK tarafından doldurulacaktır</t>
  </si>
  <si>
    <t>Tarih: 12.01.2016</t>
  </si>
  <si>
    <t xml:space="preserve">Dönem: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</si>
</sst>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_k_r_-;\-* #,##0.00\ _k_r_-;_-* &quot;-&quot;??\ _k_r_-;_-@_-"/>
    <numFmt numFmtId="165" formatCode="dd/mm/yyyy;@"/>
  </numFmts>
  <fonts count="25" x14ac:knownFonts="1">
    <font>
      <sz val="10"/>
      <name val="Arial"/>
      <charset val="186"/>
    </font>
    <font>
      <sz val="10"/>
      <name val="Arial"/>
      <family val="2"/>
      <charset val="162"/>
    </font>
    <font>
      <sz val="11"/>
      <color indexed="8"/>
      <name val="Wide Latin"/>
      <family val="1"/>
    </font>
    <font>
      <b/>
      <sz val="14"/>
      <name val="Tahoma"/>
      <family val="2"/>
      <charset val="162"/>
    </font>
    <font>
      <sz val="8"/>
      <name val="Arial"/>
      <family val="2"/>
      <charset val="162"/>
    </font>
    <font>
      <b/>
      <sz val="14"/>
      <name val="Arial"/>
      <family val="2"/>
      <charset val="238"/>
    </font>
    <font>
      <b/>
      <sz val="10"/>
      <name val="Arial"/>
      <family val="2"/>
    </font>
    <font>
      <sz val="9"/>
      <name val="Arial"/>
      <family val="2"/>
      <charset val="162"/>
    </font>
    <font>
      <b/>
      <u/>
      <sz val="11"/>
      <color indexed="18"/>
      <name val="Arial Narrow"/>
      <family val="2"/>
    </font>
    <font>
      <b/>
      <u/>
      <sz val="11"/>
      <color indexed="10"/>
      <name val="Arial Narrow"/>
      <family val="2"/>
    </font>
    <font>
      <sz val="11"/>
      <name val="Arial Narrow"/>
      <family val="2"/>
    </font>
    <font>
      <b/>
      <sz val="9"/>
      <name val="Arial Narrow"/>
      <family val="2"/>
    </font>
    <font>
      <sz val="10"/>
      <name val="Arial Narrow"/>
      <family val="2"/>
      <charset val="162"/>
    </font>
    <font>
      <sz val="11"/>
      <color indexed="8"/>
      <name val="Times New Roman"/>
      <family val="1"/>
    </font>
    <font>
      <sz val="10"/>
      <name val="Arial"/>
      <family val="2"/>
      <charset val="162"/>
    </font>
    <font>
      <i/>
      <sz val="9"/>
      <name val="Arial"/>
      <family val="2"/>
    </font>
    <font>
      <b/>
      <sz val="10"/>
      <name val="Arial"/>
      <family val="2"/>
      <charset val="162"/>
    </font>
    <font>
      <sz val="10"/>
      <name val="Arial"/>
      <family val="2"/>
      <charset val="162"/>
    </font>
    <font>
      <sz val="11"/>
      <name val="Times New Roman"/>
      <family val="1"/>
    </font>
    <font>
      <sz val="11"/>
      <name val="Arial"/>
      <family val="2"/>
      <charset val="162"/>
    </font>
    <font>
      <sz val="11"/>
      <name val="Times New Roman"/>
      <family val="1"/>
      <charset val="162"/>
    </font>
    <font>
      <b/>
      <sz val="11"/>
      <name val="Arial Narrow"/>
      <family val="2"/>
      <charset val="162"/>
    </font>
    <font>
      <b/>
      <sz val="16"/>
      <color rgb="FF666699"/>
      <name val="Tahoma"/>
      <family val="2"/>
      <charset val="162"/>
    </font>
    <font>
      <b/>
      <sz val="12"/>
      <color rgb="FFFFFFFF"/>
      <name val="Tahoma"/>
      <family val="2"/>
      <charset val="162"/>
    </font>
    <font>
      <b/>
      <sz val="8"/>
      <color rgb="FFFFFFFF"/>
      <name val="Tahoma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08080"/>
        <bgColor rgb="FF0000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191">
    <xf numFmtId="0" fontId="0" fillId="0" borderId="0" xfId="0"/>
    <xf numFmtId="0" fontId="0" fillId="0" borderId="0" xfId="0" applyBorder="1" applyAlignment="1">
      <alignment vertical="top" wrapText="1"/>
    </xf>
    <xf numFmtId="0" fontId="2" fillId="0" borderId="0" xfId="0" applyFont="1" applyAlignment="1">
      <alignment horizontal="center"/>
    </xf>
    <xf numFmtId="0" fontId="6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7" fillId="2" borderId="2" xfId="1" applyFont="1" applyFill="1" applyBorder="1" applyAlignment="1">
      <alignment vertical="top"/>
    </xf>
    <xf numFmtId="0" fontId="7" fillId="2" borderId="3" xfId="1" applyFont="1" applyFill="1" applyBorder="1" applyAlignment="1">
      <alignment vertical="top" wrapText="1"/>
    </xf>
    <xf numFmtId="0" fontId="8" fillId="0" borderId="2" xfId="1" applyFont="1" applyBorder="1"/>
    <xf numFmtId="0" fontId="1" fillId="0" borderId="4" xfId="1" applyBorder="1"/>
    <xf numFmtId="0" fontId="7" fillId="0" borderId="5" xfId="1" applyFont="1" applyBorder="1" applyAlignment="1">
      <alignment vertical="top"/>
    </xf>
    <xf numFmtId="0" fontId="7" fillId="0" borderId="6" xfId="1" applyFont="1" applyBorder="1" applyAlignment="1">
      <alignment vertical="top"/>
    </xf>
    <xf numFmtId="0" fontId="1" fillId="0" borderId="5" xfId="1" quotePrefix="1" applyFont="1" applyBorder="1" applyAlignment="1">
      <alignment horizontal="left"/>
    </xf>
    <xf numFmtId="0" fontId="1" fillId="0" borderId="0" xfId="1" applyBorder="1" applyAlignment="1">
      <alignment horizontal="left" wrapText="1"/>
    </xf>
    <xf numFmtId="0" fontId="0" fillId="0" borderId="6" xfId="0" applyBorder="1"/>
    <xf numFmtId="0" fontId="7" fillId="0" borderId="5" xfId="1" applyFont="1" applyBorder="1" applyAlignment="1">
      <alignment vertical="top" wrapText="1"/>
    </xf>
    <xf numFmtId="0" fontId="7" fillId="0" borderId="6" xfId="1" applyFont="1" applyBorder="1" applyAlignment="1">
      <alignment vertical="top" wrapText="1"/>
    </xf>
    <xf numFmtId="0" fontId="7" fillId="0" borderId="7" xfId="1" applyFont="1" applyBorder="1" applyAlignment="1">
      <alignment vertical="top" wrapText="1"/>
    </xf>
    <xf numFmtId="0" fontId="7" fillId="0" borderId="8" xfId="1" applyFont="1" applyBorder="1" applyAlignment="1">
      <alignment vertical="top" wrapText="1"/>
    </xf>
    <xf numFmtId="0" fontId="1" fillId="0" borderId="7" xfId="1" quotePrefix="1" applyBorder="1"/>
    <xf numFmtId="0" fontId="1" fillId="0" borderId="9" xfId="1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1" fillId="0" borderId="5" xfId="1" applyFont="1" applyBorder="1" applyAlignment="1">
      <alignment horizontal="left"/>
    </xf>
    <xf numFmtId="0" fontId="10" fillId="0" borderId="0" xfId="0" applyFont="1" applyBorder="1"/>
    <xf numFmtId="0" fontId="12" fillId="0" borderId="0" xfId="0" applyFont="1" applyBorder="1" applyAlignment="1">
      <alignment vertical="top" wrapText="1"/>
    </xf>
    <xf numFmtId="0" fontId="9" fillId="0" borderId="2" xfId="0" applyFont="1" applyBorder="1" applyAlignment="1"/>
    <xf numFmtId="0" fontId="10" fillId="0" borderId="4" xfId="0" applyFont="1" applyBorder="1"/>
    <xf numFmtId="0" fontId="10" fillId="0" borderId="3" xfId="0" applyFont="1" applyBorder="1"/>
    <xf numFmtId="0" fontId="11" fillId="0" borderId="5" xfId="0" applyFont="1" applyBorder="1" applyAlignment="1">
      <alignment horizontal="center" vertical="top"/>
    </xf>
    <xf numFmtId="0" fontId="10" fillId="0" borderId="6" xfId="0" applyFont="1" applyBorder="1"/>
    <xf numFmtId="0" fontId="12" fillId="0" borderId="6" xfId="0" applyFont="1" applyBorder="1" applyAlignment="1">
      <alignment vertical="top" wrapText="1"/>
    </xf>
    <xf numFmtId="0" fontId="0" fillId="0" borderId="7" xfId="0" applyBorder="1"/>
    <xf numFmtId="0" fontId="8" fillId="0" borderId="2" xfId="0" applyFont="1" applyBorder="1"/>
    <xf numFmtId="0" fontId="8" fillId="0" borderId="5" xfId="0" applyFont="1" applyBorder="1"/>
    <xf numFmtId="0" fontId="10" fillId="0" borderId="5" xfId="0" applyFont="1" applyBorder="1" applyAlignment="1">
      <alignment vertical="top"/>
    </xf>
    <xf numFmtId="164" fontId="5" fillId="0" borderId="0" xfId="2" applyFont="1" applyFill="1" applyBorder="1" applyAlignment="1">
      <alignment horizontal="right"/>
    </xf>
    <xf numFmtId="0" fontId="7" fillId="2" borderId="4" xfId="1" applyFont="1" applyFill="1" applyBorder="1" applyAlignment="1">
      <alignment vertical="top"/>
    </xf>
    <xf numFmtId="0" fontId="7" fillId="0" borderId="0" xfId="1" applyFont="1" applyBorder="1" applyAlignment="1">
      <alignment vertical="top"/>
    </xf>
    <xf numFmtId="0" fontId="7" fillId="0" borderId="0" xfId="1" applyFont="1" applyBorder="1" applyAlignment="1">
      <alignment vertical="top" wrapText="1"/>
    </xf>
    <xf numFmtId="0" fontId="7" fillId="0" borderId="9" xfId="1" applyFont="1" applyBorder="1" applyAlignment="1">
      <alignment vertical="top" wrapText="1"/>
    </xf>
    <xf numFmtId="0" fontId="3" fillId="0" borderId="0" xfId="0" applyFont="1" applyBorder="1" applyAlignment="1">
      <alignment horizont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6" fillId="0" borderId="0" xfId="0" applyFont="1"/>
    <xf numFmtId="0" fontId="0" fillId="2" borderId="3" xfId="0" applyFill="1" applyBorder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0" fontId="1" fillId="0" borderId="3" xfId="1" applyBorder="1"/>
    <xf numFmtId="0" fontId="1" fillId="0" borderId="6" xfId="1" applyBorder="1" applyAlignment="1">
      <alignment horizontal="left" wrapText="1"/>
    </xf>
    <xf numFmtId="0" fontId="1" fillId="0" borderId="8" xfId="1" applyBorder="1"/>
    <xf numFmtId="0" fontId="7" fillId="2" borderId="3" xfId="1" applyFont="1" applyFill="1" applyBorder="1" applyAlignment="1">
      <alignment vertical="top"/>
    </xf>
    <xf numFmtId="0" fontId="0" fillId="0" borderId="0" xfId="0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0" fillId="0" borderId="0" xfId="0" applyFill="1" applyBorder="1"/>
    <xf numFmtId="0" fontId="3" fillId="0" borderId="0" xfId="0" applyFont="1" applyBorder="1" applyAlignment="1">
      <alignment wrapText="1"/>
    </xf>
    <xf numFmtId="0" fontId="8" fillId="0" borderId="4" xfId="1" applyFont="1" applyBorder="1"/>
    <xf numFmtId="0" fontId="1" fillId="0" borderId="0" xfId="1" applyFont="1" applyBorder="1" applyAlignment="1">
      <alignment horizontal="left"/>
    </xf>
    <xf numFmtId="0" fontId="1" fillId="0" borderId="0" xfId="1" quotePrefix="1" applyFont="1" applyBorder="1" applyAlignment="1">
      <alignment horizontal="left"/>
    </xf>
    <xf numFmtId="0" fontId="1" fillId="0" borderId="9" xfId="1" quotePrefix="1" applyBorder="1"/>
    <xf numFmtId="0" fontId="7" fillId="2" borderId="4" xfId="1" applyFont="1" applyFill="1" applyBorder="1" applyAlignment="1">
      <alignment vertical="top" wrapText="1"/>
    </xf>
    <xf numFmtId="0" fontId="0" fillId="0" borderId="4" xfId="0" applyBorder="1"/>
    <xf numFmtId="0" fontId="0" fillId="0" borderId="11" xfId="0" applyBorder="1"/>
    <xf numFmtId="0" fontId="0" fillId="0" borderId="5" xfId="0" applyBorder="1"/>
    <xf numFmtId="0" fontId="14" fillId="0" borderId="1" xfId="0" applyFont="1" applyBorder="1" applyAlignment="1">
      <alignment horizontal="center" vertical="center" wrapText="1"/>
    </xf>
    <xf numFmtId="0" fontId="14" fillId="0" borderId="0" xfId="0" applyFont="1" applyBorder="1"/>
    <xf numFmtId="0" fontId="22" fillId="0" borderId="12" xfId="0" applyFont="1" applyBorder="1" applyAlignment="1">
      <alignment wrapText="1"/>
    </xf>
    <xf numFmtId="0" fontId="22" fillId="0" borderId="13" xfId="0" applyFont="1" applyBorder="1" applyAlignment="1">
      <alignment wrapText="1"/>
    </xf>
    <xf numFmtId="0" fontId="23" fillId="5" borderId="0" xfId="0" applyFont="1" applyFill="1" applyBorder="1" applyAlignment="1"/>
    <xf numFmtId="0" fontId="24" fillId="5" borderId="0" xfId="0" applyFont="1" applyFill="1" applyBorder="1" applyAlignment="1">
      <alignment horizontal="right"/>
    </xf>
    <xf numFmtId="0" fontId="0" fillId="0" borderId="14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14" fontId="7" fillId="0" borderId="0" xfId="1" applyNumberFormat="1" applyFont="1" applyBorder="1" applyAlignment="1">
      <alignment vertical="top" wrapText="1"/>
    </xf>
    <xf numFmtId="0" fontId="0" fillId="4" borderId="1" xfId="0" applyFill="1" applyBorder="1" applyAlignment="1">
      <alignment horizontal="center" vertical="center" wrapText="1"/>
    </xf>
    <xf numFmtId="14" fontId="7" fillId="0" borderId="6" xfId="1" applyNumberFormat="1" applyFont="1" applyBorder="1" applyAlignment="1">
      <alignment vertical="top" wrapText="1"/>
    </xf>
    <xf numFmtId="0" fontId="18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right" vertical="center" wrapText="1"/>
    </xf>
    <xf numFmtId="0" fontId="18" fillId="0" borderId="1" xfId="0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14" fontId="19" fillId="4" borderId="1" xfId="0" applyNumberFormat="1" applyFont="1" applyFill="1" applyBorder="1" applyAlignment="1">
      <alignment horizontal="center" vertical="center" wrapText="1"/>
    </xf>
    <xf numFmtId="4" fontId="19" fillId="4" borderId="1" xfId="0" applyNumberFormat="1" applyFont="1" applyFill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 wrapText="1"/>
    </xf>
    <xf numFmtId="49" fontId="18" fillId="0" borderId="1" xfId="0" quotePrefix="1" applyNumberFormat="1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 vertical="center" wrapText="1"/>
    </xf>
    <xf numFmtId="14" fontId="20" fillId="4" borderId="1" xfId="0" applyNumberFormat="1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49" fontId="18" fillId="0" borderId="0" xfId="0" quotePrefix="1" applyNumberFormat="1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/>
    </xf>
    <xf numFmtId="14" fontId="19" fillId="4" borderId="0" xfId="0" applyNumberFormat="1" applyFont="1" applyFill="1" applyBorder="1" applyAlignment="1">
      <alignment horizontal="center" vertical="center" wrapText="1"/>
    </xf>
    <xf numFmtId="4" fontId="19" fillId="4" borderId="0" xfId="0" applyNumberFormat="1" applyFont="1" applyFill="1" applyBorder="1" applyAlignment="1">
      <alignment horizontal="center" vertical="center" wrapText="1"/>
    </xf>
    <xf numFmtId="14" fontId="18" fillId="0" borderId="0" xfId="0" applyNumberFormat="1" applyFont="1" applyFill="1" applyBorder="1" applyAlignment="1">
      <alignment horizontal="center" vertical="center" wrapText="1"/>
    </xf>
    <xf numFmtId="4" fontId="19" fillId="0" borderId="0" xfId="0" applyNumberFormat="1" applyFont="1" applyFill="1" applyBorder="1" applyAlignment="1">
      <alignment horizontal="center" vertical="center" wrapText="1"/>
    </xf>
    <xf numFmtId="4" fontId="20" fillId="0" borderId="1" xfId="0" applyNumberFormat="1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4" fontId="20" fillId="4" borderId="1" xfId="0" applyNumberFormat="1" applyFont="1" applyFill="1" applyBorder="1" applyAlignment="1">
      <alignment horizontal="center" vertical="center" wrapText="1"/>
    </xf>
    <xf numFmtId="49" fontId="20" fillId="0" borderId="1" xfId="0" quotePrefix="1" applyNumberFormat="1" applyFont="1" applyFill="1" applyBorder="1" applyAlignment="1">
      <alignment horizontal="center" vertical="center" wrapText="1"/>
    </xf>
    <xf numFmtId="4" fontId="20" fillId="0" borderId="1" xfId="0" applyNumberFormat="1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49" fontId="20" fillId="0" borderId="1" xfId="0" applyNumberFormat="1" applyFont="1" applyBorder="1" applyAlignment="1">
      <alignment horizontal="center" vertical="center" wrapText="1"/>
    </xf>
    <xf numFmtId="49" fontId="19" fillId="0" borderId="1" xfId="0" applyNumberFormat="1" applyFont="1" applyBorder="1" applyAlignment="1">
      <alignment horizontal="center" vertical="center" wrapText="1"/>
    </xf>
    <xf numFmtId="49" fontId="20" fillId="0" borderId="0" xfId="0" quotePrefix="1" applyNumberFormat="1" applyFont="1" applyFill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14" fontId="20" fillId="4" borderId="0" xfId="0" applyNumberFormat="1" applyFont="1" applyFill="1" applyBorder="1" applyAlignment="1">
      <alignment horizontal="center" vertical="center" wrapText="1"/>
    </xf>
    <xf numFmtId="4" fontId="20" fillId="4" borderId="0" xfId="0" applyNumberFormat="1" applyFont="1" applyFill="1" applyBorder="1" applyAlignment="1">
      <alignment horizontal="center" vertical="center" wrapText="1"/>
    </xf>
    <xf numFmtId="14" fontId="20" fillId="0" borderId="0" xfId="0" applyNumberFormat="1" applyFont="1" applyFill="1" applyBorder="1" applyAlignment="1">
      <alignment horizontal="center" vertical="center" wrapText="1"/>
    </xf>
    <xf numFmtId="4" fontId="20" fillId="0" borderId="0" xfId="0" applyNumberFormat="1" applyFont="1" applyFill="1" applyBorder="1" applyAlignment="1">
      <alignment horizontal="center" vertical="center" wrapText="1"/>
    </xf>
    <xf numFmtId="4" fontId="20" fillId="0" borderId="0" xfId="0" applyNumberFormat="1" applyFont="1" applyBorder="1" applyAlignment="1">
      <alignment horizontal="center" vertical="center" wrapText="1"/>
    </xf>
    <xf numFmtId="49" fontId="18" fillId="0" borderId="1" xfId="0" quotePrefix="1" applyNumberFormat="1" applyFont="1" applyFill="1" applyBorder="1" applyAlignment="1">
      <alignment horizontal="center" vertical="center" wrapText="1"/>
    </xf>
    <xf numFmtId="14" fontId="14" fillId="4" borderId="1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9" fontId="19" fillId="0" borderId="0" xfId="0" applyNumberFormat="1" applyFont="1" applyBorder="1" applyAlignment="1">
      <alignment horizontal="center" vertical="center" wrapText="1"/>
    </xf>
    <xf numFmtId="4" fontId="19" fillId="4" borderId="0" xfId="0" applyNumberFormat="1" applyFont="1" applyFill="1" applyBorder="1" applyAlignment="1">
      <alignment horizontal="center" vertical="center"/>
    </xf>
    <xf numFmtId="4" fontId="19" fillId="4" borderId="1" xfId="0" applyNumberFormat="1" applyFont="1" applyFill="1" applyBorder="1" applyAlignment="1">
      <alignment horizontal="right" vertical="center"/>
    </xf>
    <xf numFmtId="4" fontId="20" fillId="0" borderId="1" xfId="0" applyNumberFormat="1" applyFont="1" applyFill="1" applyBorder="1" applyAlignment="1">
      <alignment horizontal="right" vertical="center"/>
    </xf>
    <xf numFmtId="4" fontId="20" fillId="4" borderId="1" xfId="0" applyNumberFormat="1" applyFont="1" applyFill="1" applyBorder="1" applyAlignment="1">
      <alignment horizontal="right" vertical="center"/>
    </xf>
    <xf numFmtId="4" fontId="20" fillId="0" borderId="1" xfId="0" applyNumberFormat="1" applyFont="1" applyBorder="1" applyAlignment="1">
      <alignment horizontal="right" vertical="center"/>
    </xf>
    <xf numFmtId="4" fontId="17" fillId="0" borderId="1" xfId="0" applyNumberFormat="1" applyFont="1" applyBorder="1" applyAlignment="1">
      <alignment horizontal="right" vertical="center"/>
    </xf>
    <xf numFmtId="4" fontId="14" fillId="0" borderId="1" xfId="0" applyNumberFormat="1" applyFont="1" applyBorder="1" applyAlignment="1">
      <alignment horizontal="right" vertical="center"/>
    </xf>
    <xf numFmtId="0" fontId="18" fillId="0" borderId="1" xfId="0" applyFont="1" applyFill="1" applyBorder="1" applyAlignment="1">
      <alignment horizontal="left" vertical="center" wrapText="1"/>
    </xf>
    <xf numFmtId="0" fontId="18" fillId="0" borderId="0" xfId="0" applyFont="1" applyFill="1" applyBorder="1" applyAlignment="1">
      <alignment horizontal="left" vertical="center" wrapText="1"/>
    </xf>
    <xf numFmtId="49" fontId="18" fillId="0" borderId="0" xfId="0" quotePrefix="1" applyNumberFormat="1" applyFont="1" applyFill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/>
    </xf>
    <xf numFmtId="49" fontId="19" fillId="0" borderId="0" xfId="0" applyNumberFormat="1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/>
    </xf>
    <xf numFmtId="4" fontId="17" fillId="0" borderId="1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4" fontId="0" fillId="0" borderId="0" xfId="0" applyNumberFormat="1" applyAlignment="1">
      <alignment horizontal="right" vertical="center"/>
    </xf>
    <xf numFmtId="14" fontId="14" fillId="4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vertical="center"/>
    </xf>
    <xf numFmtId="165" fontId="17" fillId="0" borderId="1" xfId="0" applyNumberFormat="1" applyFont="1" applyBorder="1" applyAlignment="1">
      <alignment horizontal="left" vertical="center"/>
    </xf>
    <xf numFmtId="49" fontId="20" fillId="0" borderId="1" xfId="0" quotePrefix="1" applyNumberFormat="1" applyFont="1" applyFill="1" applyBorder="1" applyAlignment="1">
      <alignment horizontal="left" vertical="center" wrapText="1"/>
    </xf>
    <xf numFmtId="0" fontId="20" fillId="0" borderId="1" xfId="0" applyFont="1" applyFill="1" applyBorder="1" applyAlignment="1">
      <alignment horizontal="left" vertical="center" wrapText="1"/>
    </xf>
    <xf numFmtId="49" fontId="20" fillId="0" borderId="1" xfId="0" applyNumberFormat="1" applyFont="1" applyBorder="1" applyAlignment="1">
      <alignment horizontal="left" vertical="center" wrapText="1"/>
    </xf>
    <xf numFmtId="14" fontId="20" fillId="4" borderId="1" xfId="0" applyNumberFormat="1" applyFont="1" applyFill="1" applyBorder="1" applyAlignment="1">
      <alignment horizontal="left" vertical="center" wrapText="1"/>
    </xf>
    <xf numFmtId="49" fontId="18" fillId="0" borderId="1" xfId="0" quotePrefix="1" applyNumberFormat="1" applyFont="1" applyFill="1" applyBorder="1" applyAlignment="1">
      <alignment horizontal="left" vertical="center" wrapText="1"/>
    </xf>
    <xf numFmtId="49" fontId="19" fillId="0" borderId="1" xfId="0" applyNumberFormat="1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14" fontId="14" fillId="4" borderId="1" xfId="0" applyNumberFormat="1" applyFont="1" applyFill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4" fontId="5" fillId="0" borderId="0" xfId="2" applyFont="1" applyFill="1" applyBorder="1" applyAlignment="1">
      <alignment horizontal="left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left" vertical="top" wrapText="1"/>
    </xf>
    <xf numFmtId="0" fontId="11" fillId="0" borderId="0" xfId="0" applyFont="1" applyBorder="1" applyAlignment="1">
      <alignment horizontal="left" vertical="top" wrapText="1"/>
    </xf>
    <xf numFmtId="0" fontId="11" fillId="0" borderId="6" xfId="0" applyFont="1" applyBorder="1" applyAlignment="1">
      <alignment horizontal="left" vertical="top" wrapText="1"/>
    </xf>
    <xf numFmtId="0" fontId="21" fillId="0" borderId="5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6" xfId="0" applyFont="1" applyBorder="1" applyAlignment="1">
      <alignment horizontal="left" vertical="top" wrapText="1"/>
    </xf>
  </cellXfs>
  <cellStyles count="3">
    <cellStyle name="Normal" xfId="0" builtinId="0"/>
    <cellStyle name="Normal 2" xfId="1"/>
    <cellStyle name="Virgül" xfId="2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79"/>
  <sheetViews>
    <sheetView tabSelected="1" topLeftCell="A8" zoomScale="70" zoomScaleNormal="70" zoomScaleSheetLayoutView="70" workbookViewId="0">
      <selection activeCell="A8" sqref="A8"/>
    </sheetView>
  </sheetViews>
  <sheetFormatPr defaultRowHeight="12.75" x14ac:dyDescent="0.2"/>
  <cols>
    <col min="1" max="2" width="17.85546875" customWidth="1"/>
    <col min="3" max="3" width="15.7109375" customWidth="1"/>
    <col min="4" max="4" width="20.85546875" customWidth="1"/>
    <col min="5" max="5" width="16.140625" customWidth="1"/>
    <col min="6" max="6" width="21.140625" bestFit="1" customWidth="1"/>
    <col min="7" max="7" width="16.85546875" customWidth="1"/>
    <col min="8" max="8" width="21" customWidth="1"/>
    <col min="9" max="9" width="18.5703125" customWidth="1"/>
    <col min="10" max="11" width="20.28515625" customWidth="1"/>
    <col min="12" max="12" width="22.28515625" bestFit="1" customWidth="1"/>
    <col min="13" max="14" width="15.7109375" customWidth="1"/>
    <col min="15" max="15" width="23.140625" customWidth="1"/>
    <col min="16" max="16" width="19.42578125" customWidth="1"/>
    <col min="17" max="17" width="14.85546875" customWidth="1"/>
    <col min="18" max="18" width="11.140625" customWidth="1"/>
    <col min="19" max="19" width="11.85546875" customWidth="1"/>
    <col min="20" max="25" width="10.5703125" customWidth="1"/>
    <col min="26" max="26" width="22.42578125" customWidth="1"/>
  </cols>
  <sheetData>
    <row r="1" spans="1:25" ht="17.25" hidden="1" customHeight="1" x14ac:dyDescent="0.2"/>
    <row r="2" spans="1:25" ht="17.25" hidden="1" customHeight="1" x14ac:dyDescent="0.2">
      <c r="A2" s="128"/>
      <c r="B2" s="141"/>
      <c r="C2" s="142"/>
      <c r="D2" s="143"/>
      <c r="E2" s="142"/>
      <c r="F2" s="144"/>
      <c r="G2" s="123"/>
      <c r="H2" s="124"/>
      <c r="I2" s="143"/>
      <c r="J2" s="142"/>
      <c r="K2" s="144"/>
      <c r="L2" s="123"/>
      <c r="M2" s="124"/>
      <c r="N2" s="125">
        <f>G2-L2</f>
        <v>0</v>
      </c>
      <c r="O2" s="125">
        <f>H2-M2</f>
        <v>0</v>
      </c>
      <c r="P2" s="149"/>
    </row>
    <row r="3" spans="1:25" ht="17.25" hidden="1" customHeight="1" x14ac:dyDescent="0.2">
      <c r="A3" s="136"/>
      <c r="B3" s="136"/>
      <c r="C3" s="136"/>
      <c r="D3" s="136"/>
      <c r="E3" s="136"/>
      <c r="F3" s="136"/>
      <c r="G3" s="137"/>
      <c r="H3" s="137"/>
      <c r="I3" s="136"/>
      <c r="J3" s="136"/>
      <c r="K3" s="136"/>
      <c r="L3" s="137"/>
      <c r="M3" s="137"/>
      <c r="N3" s="137"/>
      <c r="O3" s="137"/>
      <c r="P3" s="136"/>
    </row>
    <row r="4" spans="1:25" ht="17.25" hidden="1" customHeight="1" x14ac:dyDescent="0.2">
      <c r="A4" s="128"/>
      <c r="B4" s="145"/>
      <c r="C4" s="128"/>
      <c r="D4" s="146"/>
      <c r="E4" s="147"/>
      <c r="F4" s="148"/>
      <c r="G4" s="122"/>
      <c r="H4" s="122"/>
      <c r="I4" s="146"/>
      <c r="J4" s="147"/>
      <c r="K4" s="148"/>
      <c r="L4" s="122"/>
      <c r="M4" s="122"/>
      <c r="N4" s="125">
        <f>G4-L4</f>
        <v>0</v>
      </c>
      <c r="O4" s="125">
        <f>H4-M4</f>
        <v>0</v>
      </c>
      <c r="P4" s="150"/>
    </row>
    <row r="5" spans="1:25" ht="17.25" hidden="1" customHeight="1" x14ac:dyDescent="0.2">
      <c r="A5" s="129"/>
      <c r="B5" s="130"/>
      <c r="C5" s="129"/>
      <c r="D5" s="133"/>
      <c r="E5" s="134"/>
      <c r="F5" s="138"/>
      <c r="G5" s="121"/>
      <c r="H5" s="121"/>
      <c r="I5" s="120"/>
      <c r="J5" s="96"/>
      <c r="K5" s="139"/>
      <c r="L5" s="139"/>
      <c r="M5" s="139"/>
      <c r="N5" s="119"/>
      <c r="O5" s="119"/>
      <c r="P5" s="119"/>
    </row>
    <row r="6" spans="1:25" ht="17.25" hidden="1" customHeight="1" x14ac:dyDescent="0.2">
      <c r="A6" s="131"/>
      <c r="B6" s="131"/>
      <c r="C6" s="131"/>
      <c r="D6" s="132"/>
      <c r="E6" s="135"/>
      <c r="F6" s="140"/>
      <c r="G6" s="126"/>
      <c r="H6" s="127"/>
      <c r="I6" s="60"/>
      <c r="J6" s="96"/>
      <c r="K6" s="139"/>
      <c r="L6" s="139"/>
      <c r="M6" s="139"/>
      <c r="N6" s="119"/>
      <c r="O6" s="119"/>
      <c r="P6" s="119"/>
    </row>
    <row r="7" spans="1:25" ht="17.25" hidden="1" customHeight="1" x14ac:dyDescent="0.2"/>
    <row r="9" spans="1:25" s="72" customFormat="1" ht="19.5" x14ac:dyDescent="0.25">
      <c r="B9" s="73" t="s">
        <v>29</v>
      </c>
      <c r="C9" s="74"/>
      <c r="D9" s="74"/>
      <c r="E9" s="75" t="s">
        <v>30</v>
      </c>
      <c r="F9" s="75"/>
      <c r="G9" s="75"/>
      <c r="H9" s="75"/>
      <c r="I9" s="75"/>
      <c r="J9" s="75"/>
      <c r="K9" s="75"/>
      <c r="L9" s="75"/>
      <c r="M9" s="75"/>
      <c r="N9" s="75"/>
      <c r="O9" s="75"/>
      <c r="P9" s="76" t="s">
        <v>46</v>
      </c>
    </row>
    <row r="10" spans="1:25" ht="15" x14ac:dyDescent="0.25">
      <c r="C10" s="1"/>
      <c r="D10" s="1"/>
      <c r="E10" s="1"/>
      <c r="F10" s="1"/>
      <c r="G10" s="1"/>
      <c r="H10" s="1"/>
      <c r="I10" s="1"/>
      <c r="J10" s="2"/>
      <c r="K10" s="2"/>
      <c r="L10" s="2"/>
      <c r="M10" s="2"/>
    </row>
    <row r="11" spans="1:25" ht="33" customHeight="1" x14ac:dyDescent="0.25">
      <c r="C11" s="171" t="s">
        <v>4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3"/>
      <c r="N11" s="62"/>
      <c r="O11" s="62"/>
      <c r="P11" s="62"/>
      <c r="Q11" s="62"/>
      <c r="R11" s="62"/>
      <c r="S11" s="62"/>
      <c r="T11" s="62"/>
      <c r="U11" s="62"/>
      <c r="V11" s="62"/>
      <c r="W11" s="43"/>
    </row>
    <row r="12" spans="1:25" ht="18" x14ac:dyDescent="0.25"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43"/>
    </row>
    <row r="14" spans="1:25" ht="18" x14ac:dyDescent="0.25">
      <c r="N14" s="38" t="s">
        <v>51</v>
      </c>
      <c r="O14" s="155"/>
      <c r="P14" s="155"/>
    </row>
    <row r="15" spans="1:25" x14ac:dyDescent="0.2">
      <c r="A15" s="3" t="s">
        <v>5</v>
      </c>
      <c r="B15" s="3"/>
    </row>
    <row r="17" spans="1:26" s="4" customFormat="1" x14ac:dyDescent="0.2">
      <c r="A17" s="177" t="s">
        <v>6</v>
      </c>
      <c r="B17" s="178"/>
      <c r="C17" s="179"/>
      <c r="D17" s="174" t="s">
        <v>47</v>
      </c>
      <c r="E17" s="174"/>
      <c r="F17" s="174"/>
      <c r="G17" s="174"/>
      <c r="H17" s="174"/>
      <c r="I17" s="177" t="s">
        <v>6</v>
      </c>
      <c r="J17" s="178"/>
      <c r="K17" s="178"/>
      <c r="L17" s="178"/>
      <c r="M17" s="178"/>
      <c r="N17" s="178"/>
      <c r="O17" s="178"/>
      <c r="P17" s="179"/>
      <c r="Q17" s="48"/>
      <c r="R17" s="48"/>
      <c r="S17" s="48"/>
      <c r="T17" s="48"/>
      <c r="U17" s="48"/>
      <c r="V17" s="48"/>
      <c r="W17" s="48"/>
      <c r="X17" s="48"/>
    </row>
    <row r="18" spans="1:26" s="4" customFormat="1" ht="25.5" x14ac:dyDescent="0.2">
      <c r="A18" s="180"/>
      <c r="B18" s="181"/>
      <c r="C18" s="182"/>
      <c r="D18" s="156" t="s">
        <v>48</v>
      </c>
      <c r="E18" s="157"/>
      <c r="F18" s="157"/>
      <c r="G18" s="183"/>
      <c r="H18" s="78" t="s">
        <v>22</v>
      </c>
      <c r="I18" s="180"/>
      <c r="J18" s="181"/>
      <c r="K18" s="181"/>
      <c r="L18" s="181"/>
      <c r="M18" s="181"/>
      <c r="N18" s="181"/>
      <c r="O18" s="181"/>
      <c r="P18" s="182"/>
      <c r="Q18" s="48"/>
      <c r="R18" s="48"/>
      <c r="S18" s="48"/>
      <c r="T18" s="48"/>
      <c r="U18" s="48"/>
      <c r="V18" s="48"/>
      <c r="W18" s="48"/>
      <c r="X18" s="48"/>
    </row>
    <row r="19" spans="1:26" s="5" customFormat="1" ht="36.75" customHeight="1" x14ac:dyDescent="0.2">
      <c r="A19" s="163" t="s">
        <v>7</v>
      </c>
      <c r="B19" s="163" t="s">
        <v>8</v>
      </c>
      <c r="C19" s="163" t="s">
        <v>9</v>
      </c>
      <c r="D19" s="163" t="s">
        <v>10</v>
      </c>
      <c r="E19" s="163" t="s">
        <v>11</v>
      </c>
      <c r="F19" s="169" t="s">
        <v>12</v>
      </c>
      <c r="G19" s="163" t="s">
        <v>31</v>
      </c>
      <c r="H19" s="163" t="s">
        <v>32</v>
      </c>
      <c r="I19" s="163" t="s">
        <v>33</v>
      </c>
      <c r="J19" s="163" t="s">
        <v>13</v>
      </c>
      <c r="K19" s="163" t="s">
        <v>12</v>
      </c>
      <c r="L19" s="163" t="s">
        <v>31</v>
      </c>
      <c r="M19" s="163" t="s">
        <v>34</v>
      </c>
      <c r="N19" s="175" t="s">
        <v>14</v>
      </c>
      <c r="O19" s="176"/>
      <c r="P19" s="154" t="s">
        <v>15</v>
      </c>
      <c r="Q19" s="49"/>
      <c r="R19" s="49"/>
      <c r="S19" s="49"/>
      <c r="T19" s="49"/>
      <c r="U19" s="167"/>
      <c r="V19" s="168"/>
      <c r="W19" s="50"/>
      <c r="X19" s="50"/>
    </row>
    <row r="20" spans="1:26" s="5" customFormat="1" ht="65.25" customHeight="1" x14ac:dyDescent="0.2">
      <c r="A20" s="164"/>
      <c r="B20" s="164"/>
      <c r="C20" s="164"/>
      <c r="D20" s="164"/>
      <c r="E20" s="164"/>
      <c r="F20" s="170"/>
      <c r="G20" s="164"/>
      <c r="H20" s="164"/>
      <c r="I20" s="164"/>
      <c r="J20" s="164"/>
      <c r="K20" s="164"/>
      <c r="L20" s="164"/>
      <c r="M20" s="164"/>
      <c r="N20" s="44" t="s">
        <v>36</v>
      </c>
      <c r="O20" s="44" t="s">
        <v>35</v>
      </c>
      <c r="P20" s="154"/>
      <c r="Q20" s="50"/>
      <c r="R20" s="50"/>
      <c r="S20" s="50"/>
      <c r="T20" s="50"/>
      <c r="U20" s="167"/>
      <c r="V20" s="168"/>
      <c r="W20" s="50"/>
      <c r="X20" s="50"/>
    </row>
    <row r="21" spans="1:26" s="5" customFormat="1" ht="15.75" customHeight="1" x14ac:dyDescent="0.2">
      <c r="A21" s="6">
        <v>1</v>
      </c>
      <c r="B21" s="6">
        <v>2</v>
      </c>
      <c r="C21" s="6">
        <v>3</v>
      </c>
      <c r="D21" s="6">
        <v>4</v>
      </c>
      <c r="E21" s="6">
        <v>5</v>
      </c>
      <c r="F21" s="80">
        <v>6</v>
      </c>
      <c r="G21" s="80">
        <v>7</v>
      </c>
      <c r="H21" s="6">
        <v>8</v>
      </c>
      <c r="I21" s="6">
        <v>9</v>
      </c>
      <c r="J21" s="6">
        <v>10</v>
      </c>
      <c r="K21" s="6">
        <v>11</v>
      </c>
      <c r="L21" s="6">
        <v>12</v>
      </c>
      <c r="M21" s="6">
        <v>13</v>
      </c>
      <c r="N21" s="6" t="s">
        <v>1</v>
      </c>
      <c r="O21" s="6" t="s">
        <v>2</v>
      </c>
      <c r="P21" s="6">
        <v>16</v>
      </c>
      <c r="Q21" s="50"/>
      <c r="R21" s="50"/>
      <c r="S21" s="50"/>
      <c r="T21" s="50"/>
      <c r="U21" s="50"/>
      <c r="V21" s="50"/>
      <c r="W21" s="50"/>
      <c r="X21" s="50"/>
    </row>
    <row r="22" spans="1:26" s="107" customFormat="1" ht="19.5" customHeight="1" x14ac:dyDescent="0.2">
      <c r="A22" s="84"/>
      <c r="B22" s="104"/>
      <c r="C22" s="91"/>
      <c r="D22" s="108"/>
      <c r="E22" s="91"/>
      <c r="F22" s="92"/>
      <c r="G22" s="105"/>
      <c r="H22" s="103"/>
      <c r="I22" s="108"/>
      <c r="J22" s="91"/>
      <c r="K22" s="92"/>
      <c r="L22" s="105"/>
      <c r="M22" s="103"/>
      <c r="N22" s="101"/>
      <c r="O22" s="101"/>
      <c r="P22" s="90"/>
      <c r="Q22" s="106"/>
      <c r="R22" s="106"/>
      <c r="S22" s="106"/>
      <c r="T22" s="106"/>
      <c r="U22" s="106"/>
      <c r="V22" s="106"/>
      <c r="W22" s="106"/>
      <c r="X22" s="106"/>
    </row>
    <row r="23" spans="1:26" s="107" customFormat="1" ht="15" x14ac:dyDescent="0.2">
      <c r="A23" s="93"/>
      <c r="B23" s="110"/>
      <c r="C23" s="106"/>
      <c r="D23" s="102"/>
      <c r="E23" s="111"/>
      <c r="F23" s="112"/>
      <c r="G23" s="113"/>
      <c r="H23" s="113"/>
      <c r="I23" s="106"/>
      <c r="J23" s="106"/>
      <c r="K23" s="114"/>
      <c r="L23" s="115"/>
      <c r="M23" s="113"/>
      <c r="N23" s="116"/>
      <c r="O23" s="116"/>
      <c r="P23" s="102"/>
      <c r="Q23" s="106"/>
      <c r="R23" s="106"/>
      <c r="S23" s="106"/>
      <c r="T23" s="106"/>
      <c r="U23" s="106"/>
      <c r="V23" s="106"/>
      <c r="W23" s="106"/>
      <c r="X23" s="106"/>
    </row>
    <row r="24" spans="1:26" s="5" customFormat="1" ht="15" hidden="1" x14ac:dyDescent="0.2">
      <c r="B24" s="94"/>
      <c r="C24" s="93"/>
      <c r="D24" s="95"/>
      <c r="E24" s="96"/>
      <c r="F24" s="97"/>
      <c r="G24" s="98"/>
      <c r="H24" s="98"/>
      <c r="I24" s="93"/>
      <c r="J24" s="93"/>
      <c r="K24" s="99"/>
      <c r="L24" s="100"/>
      <c r="M24" s="98"/>
      <c r="N24" s="45"/>
      <c r="O24" s="45"/>
      <c r="P24" s="45"/>
      <c r="Q24" s="50"/>
      <c r="R24" s="50"/>
      <c r="S24" s="50"/>
      <c r="T24" s="50"/>
      <c r="U24" s="50"/>
      <c r="V24" s="50"/>
      <c r="W24" s="50"/>
      <c r="X24" s="50"/>
    </row>
    <row r="25" spans="1:26" hidden="1" x14ac:dyDescent="0.2">
      <c r="Y25" s="61"/>
      <c r="Z25" s="61"/>
    </row>
    <row r="26" spans="1:26" x14ac:dyDescent="0.2">
      <c r="A26" s="7"/>
      <c r="B26" s="39"/>
      <c r="C26" s="8"/>
      <c r="D26" s="7"/>
      <c r="E26" s="39"/>
      <c r="F26" s="47"/>
      <c r="H26" s="7"/>
      <c r="I26" s="67"/>
      <c r="J26" s="7"/>
      <c r="K26" s="8"/>
      <c r="L26" s="39"/>
      <c r="M26" s="8"/>
      <c r="N26" s="7"/>
      <c r="O26" s="54"/>
    </row>
    <row r="27" spans="1:26" x14ac:dyDescent="0.2">
      <c r="A27" s="11"/>
      <c r="B27" s="40"/>
      <c r="C27" s="12"/>
      <c r="D27" s="11"/>
      <c r="E27" s="40"/>
      <c r="F27" s="15"/>
      <c r="H27" s="11"/>
      <c r="I27" s="40"/>
      <c r="J27" s="11"/>
      <c r="K27" s="12"/>
      <c r="L27" s="11"/>
      <c r="M27" s="12"/>
      <c r="N27" s="11"/>
      <c r="O27" s="12"/>
    </row>
    <row r="28" spans="1:26" x14ac:dyDescent="0.2">
      <c r="A28" s="16" t="str">
        <f>H28</f>
        <v>Tarih: 12.01.2016</v>
      </c>
      <c r="B28" s="41"/>
      <c r="C28" s="17"/>
      <c r="D28" s="16" t="str">
        <f>H28</f>
        <v>Tarih: 12.01.2016</v>
      </c>
      <c r="E28" s="41"/>
      <c r="F28" s="15"/>
      <c r="H28" s="16" t="s">
        <v>50</v>
      </c>
      <c r="I28" s="79"/>
      <c r="J28" s="16" t="str">
        <f>H28</f>
        <v>Tarih: 12.01.2016</v>
      </c>
      <c r="K28" s="81"/>
      <c r="L28" s="16" t="str">
        <f>H28</f>
        <v>Tarih: 12.01.2016</v>
      </c>
      <c r="M28" s="81"/>
      <c r="N28" s="16" t="str">
        <f>H28</f>
        <v>Tarih: 12.01.2016</v>
      </c>
      <c r="O28" s="81"/>
    </row>
    <row r="29" spans="1:26" x14ac:dyDescent="0.2">
      <c r="A29" s="18" t="s">
        <v>18</v>
      </c>
      <c r="B29" s="42"/>
      <c r="C29" s="19"/>
      <c r="D29" s="18" t="str">
        <f>A29</f>
        <v>İmza:</v>
      </c>
      <c r="E29" s="42"/>
      <c r="F29" s="22"/>
      <c r="H29" s="18" t="str">
        <f>A29</f>
        <v>İmza:</v>
      </c>
      <c r="I29" s="42"/>
      <c r="J29" s="18" t="str">
        <f>A29</f>
        <v>İmza:</v>
      </c>
      <c r="K29" s="19"/>
      <c r="L29" s="18" t="str">
        <f>A29</f>
        <v>İmza:</v>
      </c>
      <c r="M29" s="19"/>
      <c r="N29" s="18" t="str">
        <f>A29</f>
        <v>İmza:</v>
      </c>
      <c r="O29" s="19"/>
    </row>
    <row r="30" spans="1:26" x14ac:dyDescent="0.2">
      <c r="G30" s="23"/>
      <c r="H30" s="68"/>
      <c r="Q30" s="23"/>
      <c r="R30" s="23"/>
    </row>
    <row r="31" spans="1:26" ht="16.5" x14ac:dyDescent="0.3">
      <c r="A31" s="9" t="s">
        <v>21</v>
      </c>
      <c r="B31" s="63"/>
      <c r="C31" s="10"/>
      <c r="D31" s="10"/>
      <c r="E31" s="10"/>
      <c r="F31" s="10"/>
      <c r="G31" s="70"/>
      <c r="H31" s="28" t="s">
        <v>19</v>
      </c>
      <c r="I31" s="29"/>
      <c r="J31" s="29"/>
      <c r="K31" s="35" t="s">
        <v>20</v>
      </c>
      <c r="L31" s="29"/>
      <c r="M31" s="29"/>
      <c r="N31" s="30"/>
    </row>
    <row r="32" spans="1:26" ht="16.5" x14ac:dyDescent="0.3">
      <c r="A32" s="25"/>
      <c r="B32" s="64"/>
      <c r="C32" s="14"/>
      <c r="D32" s="14"/>
      <c r="E32" s="14"/>
      <c r="F32" s="52"/>
      <c r="G32" s="23"/>
      <c r="H32" s="31" t="s">
        <v>16</v>
      </c>
      <c r="I32" s="26"/>
      <c r="J32" s="26"/>
      <c r="K32" s="36"/>
      <c r="L32" s="26"/>
      <c r="M32" s="26"/>
      <c r="N32" s="32"/>
    </row>
    <row r="33" spans="1:18" ht="16.5" x14ac:dyDescent="0.2">
      <c r="A33" s="13"/>
      <c r="B33" s="65"/>
      <c r="C33" s="14"/>
      <c r="D33" s="14"/>
      <c r="E33" s="14"/>
      <c r="F33" s="52"/>
      <c r="G33" s="23"/>
      <c r="H33" s="31"/>
      <c r="I33" s="27"/>
      <c r="J33" s="27"/>
      <c r="K33" s="37"/>
      <c r="L33" s="27"/>
      <c r="M33" s="27"/>
      <c r="N33" s="33"/>
    </row>
    <row r="34" spans="1:18" x14ac:dyDescent="0.2">
      <c r="A34" s="20"/>
      <c r="B34" s="66"/>
      <c r="C34" s="21"/>
      <c r="D34" s="21"/>
      <c r="E34" s="21"/>
      <c r="F34" s="53"/>
      <c r="G34" s="69"/>
      <c r="H34" s="34"/>
      <c r="I34" s="24"/>
      <c r="J34" s="24"/>
      <c r="K34" s="34"/>
      <c r="L34" s="24"/>
      <c r="M34" s="24"/>
      <c r="N34" s="22"/>
    </row>
    <row r="37" spans="1:18" ht="18" x14ac:dyDescent="0.25">
      <c r="A37" s="3" t="s">
        <v>37</v>
      </c>
      <c r="B37" s="3"/>
      <c r="N37" s="38" t="str">
        <f>N14</f>
        <v xml:space="preserve">Dönem: </v>
      </c>
      <c r="O37" s="155">
        <f>Donem</f>
        <v>0</v>
      </c>
      <c r="P37" s="155"/>
    </row>
    <row r="39" spans="1:18" ht="12.75" customHeight="1" x14ac:dyDescent="0.2">
      <c r="A39" s="166" t="s">
        <v>6</v>
      </c>
      <c r="B39" s="166"/>
      <c r="C39" s="166"/>
      <c r="D39" s="156" t="s">
        <v>49</v>
      </c>
      <c r="E39" s="157"/>
      <c r="F39" s="157"/>
      <c r="G39" s="157"/>
      <c r="H39" s="157"/>
      <c r="I39" s="162" t="s">
        <v>43</v>
      </c>
      <c r="J39" s="162"/>
      <c r="K39" s="162"/>
      <c r="L39" s="162"/>
      <c r="M39" s="162"/>
      <c r="N39" s="162"/>
      <c r="O39" s="162"/>
      <c r="P39" s="162"/>
      <c r="Q39" s="48"/>
      <c r="R39" s="48"/>
    </row>
    <row r="40" spans="1:18" s="56" customFormat="1" ht="14.25" customHeight="1" x14ac:dyDescent="0.2">
      <c r="A40" s="163" t="s">
        <v>7</v>
      </c>
      <c r="B40" s="163" t="s">
        <v>8</v>
      </c>
      <c r="C40" s="163" t="s">
        <v>9</v>
      </c>
      <c r="D40" s="163" t="s">
        <v>38</v>
      </c>
      <c r="E40" s="163" t="s">
        <v>11</v>
      </c>
      <c r="F40" s="163" t="s">
        <v>12</v>
      </c>
      <c r="G40" s="158" t="s">
        <v>39</v>
      </c>
      <c r="H40" s="159"/>
      <c r="I40" s="163" t="s">
        <v>38</v>
      </c>
      <c r="J40" s="163" t="s">
        <v>13</v>
      </c>
      <c r="K40" s="163" t="s">
        <v>12</v>
      </c>
      <c r="L40" s="158" t="s">
        <v>42</v>
      </c>
      <c r="M40" s="159"/>
      <c r="N40" s="158" t="s">
        <v>14</v>
      </c>
      <c r="O40" s="159"/>
      <c r="P40" s="163" t="s">
        <v>15</v>
      </c>
      <c r="Q40" s="45"/>
      <c r="R40" s="57"/>
    </row>
    <row r="41" spans="1:18" s="56" customFormat="1" x14ac:dyDescent="0.2">
      <c r="A41" s="165"/>
      <c r="B41" s="165"/>
      <c r="C41" s="165"/>
      <c r="D41" s="165"/>
      <c r="E41" s="165"/>
      <c r="F41" s="165"/>
      <c r="G41" s="160"/>
      <c r="H41" s="161"/>
      <c r="I41" s="165"/>
      <c r="J41" s="165"/>
      <c r="K41" s="165"/>
      <c r="L41" s="160"/>
      <c r="M41" s="161"/>
      <c r="N41" s="160"/>
      <c r="O41" s="161"/>
      <c r="P41" s="165"/>
      <c r="Q41" s="45"/>
      <c r="R41" s="57"/>
    </row>
    <row r="42" spans="1:18" s="56" customFormat="1" x14ac:dyDescent="0.2">
      <c r="A42" s="164"/>
      <c r="B42" s="164"/>
      <c r="C42" s="164"/>
      <c r="D42" s="164"/>
      <c r="E42" s="164"/>
      <c r="F42" s="164"/>
      <c r="G42" s="6" t="s">
        <v>40</v>
      </c>
      <c r="H42" s="77" t="s">
        <v>41</v>
      </c>
      <c r="I42" s="164"/>
      <c r="J42" s="164"/>
      <c r="K42" s="164"/>
      <c r="L42" s="44" t="s">
        <v>40</v>
      </c>
      <c r="M42" s="44" t="s">
        <v>41</v>
      </c>
      <c r="N42" s="44" t="s">
        <v>40</v>
      </c>
      <c r="O42" s="44" t="s">
        <v>41</v>
      </c>
      <c r="P42" s="164"/>
      <c r="Q42" s="45"/>
      <c r="R42" s="57"/>
    </row>
    <row r="43" spans="1:18" ht="15" customHeight="1" x14ac:dyDescent="0.2">
      <c r="A43" s="6">
        <v>1</v>
      </c>
      <c r="B43" s="6">
        <v>2</v>
      </c>
      <c r="C43" s="6">
        <v>3</v>
      </c>
      <c r="D43" s="6">
        <v>4</v>
      </c>
      <c r="E43" s="6">
        <v>5</v>
      </c>
      <c r="F43" s="6">
        <v>6</v>
      </c>
      <c r="G43" s="6">
        <v>7</v>
      </c>
      <c r="H43" s="6">
        <v>8</v>
      </c>
      <c r="I43" s="6">
        <v>9</v>
      </c>
      <c r="J43" s="6">
        <v>10</v>
      </c>
      <c r="K43" s="6">
        <v>11</v>
      </c>
      <c r="L43" s="6">
        <v>12</v>
      </c>
      <c r="M43" s="6">
        <v>13</v>
      </c>
      <c r="N43" s="6" t="s">
        <v>44</v>
      </c>
      <c r="O43" s="6" t="s">
        <v>45</v>
      </c>
      <c r="P43" s="6">
        <v>16</v>
      </c>
      <c r="Q43" s="45"/>
      <c r="R43" s="55"/>
    </row>
    <row r="44" spans="1:18" ht="20.25" customHeight="1" x14ac:dyDescent="0.2">
      <c r="A44" s="84"/>
      <c r="B44" s="117"/>
      <c r="C44" s="84"/>
      <c r="D44" s="109"/>
      <c r="E44" s="85"/>
      <c r="F44" s="118"/>
      <c r="G44" s="87"/>
      <c r="H44" s="87"/>
      <c r="I44" s="109"/>
      <c r="J44" s="85"/>
      <c r="K44" s="118"/>
      <c r="L44" s="87"/>
      <c r="M44" s="87"/>
      <c r="N44" s="6"/>
      <c r="O44" s="6"/>
      <c r="P44" s="6"/>
      <c r="Q44" s="58"/>
      <c r="R44" s="23"/>
    </row>
    <row r="45" spans="1:18" ht="54.95" hidden="1" customHeight="1" x14ac:dyDescent="0.2">
      <c r="A45" s="83"/>
      <c r="B45" s="89"/>
      <c r="C45" s="82"/>
      <c r="D45" s="88"/>
      <c r="E45" s="85"/>
      <c r="F45" s="86"/>
      <c r="G45" s="87"/>
      <c r="H45" s="87"/>
      <c r="I45" s="82"/>
      <c r="J45" s="85"/>
      <c r="K45" s="86"/>
      <c r="L45" s="87"/>
      <c r="M45" s="87"/>
      <c r="N45" s="6"/>
      <c r="O45" s="6"/>
      <c r="P45" s="6"/>
      <c r="Q45" s="58"/>
      <c r="R45" s="23"/>
    </row>
    <row r="46" spans="1:18" hidden="1" x14ac:dyDescent="0.2"/>
    <row r="48" spans="1:18" x14ac:dyDescent="0.2">
      <c r="A48" s="7" t="str">
        <f>A26&amp;""</f>
        <v/>
      </c>
      <c r="B48" s="39" t="str">
        <f>B26&amp;""</f>
        <v/>
      </c>
      <c r="C48" s="8" t="str">
        <f>C26&amp;""</f>
        <v/>
      </c>
      <c r="D48" s="7" t="str">
        <f>D26&amp;""</f>
        <v/>
      </c>
      <c r="E48" s="39" t="str">
        <f>E26&amp;""</f>
        <v/>
      </c>
      <c r="F48" s="54" t="str">
        <f>F26&amp;""</f>
        <v/>
      </c>
      <c r="H48" s="7" t="str">
        <f>H26&amp;""</f>
        <v/>
      </c>
      <c r="I48" s="67" t="str">
        <f>hazirlayan&amp;""</f>
        <v/>
      </c>
      <c r="J48" s="7" t="str">
        <f>kontrolEdenUnv&amp;""</f>
        <v/>
      </c>
      <c r="K48" s="8" t="str">
        <f>kontrolEden&amp;""</f>
        <v/>
      </c>
      <c r="L48" s="39" t="str">
        <f>onaylayanUnv&amp;""</f>
        <v/>
      </c>
      <c r="M48" s="8" t="str">
        <f>onaylayan&amp;""</f>
        <v/>
      </c>
      <c r="N48" s="7" t="str">
        <f>N26&amp;""</f>
        <v/>
      </c>
      <c r="O48" s="54" t="str">
        <f>uygunBulan&amp;""</f>
        <v/>
      </c>
    </row>
    <row r="49" spans="1:15" x14ac:dyDescent="0.2">
      <c r="A49" s="11"/>
      <c r="B49" s="40"/>
      <c r="C49" s="12"/>
      <c r="D49" s="11"/>
      <c r="E49" s="40"/>
      <c r="F49" s="12"/>
      <c r="H49" s="11"/>
      <c r="I49" s="40"/>
      <c r="J49" s="11"/>
      <c r="K49" s="12"/>
      <c r="L49" s="11"/>
      <c r="M49" s="12"/>
      <c r="N49" s="11"/>
      <c r="O49" s="12"/>
    </row>
    <row r="50" spans="1:15" x14ac:dyDescent="0.2">
      <c r="A50" s="16" t="s">
        <v>17</v>
      </c>
      <c r="B50" s="41"/>
      <c r="C50" s="17"/>
      <c r="D50" s="16" t="s">
        <v>17</v>
      </c>
      <c r="E50" s="41"/>
      <c r="F50" s="17"/>
      <c r="H50" s="16" t="str">
        <f>H28</f>
        <v>Tarih: 12.01.2016</v>
      </c>
      <c r="I50" s="79"/>
      <c r="J50" s="16" t="str">
        <f>H28</f>
        <v>Tarih: 12.01.2016</v>
      </c>
      <c r="K50" s="81"/>
      <c r="L50" s="16" t="str">
        <f>H28</f>
        <v>Tarih: 12.01.2016</v>
      </c>
      <c r="M50" s="81"/>
      <c r="N50" s="16" t="str">
        <f>H28</f>
        <v>Tarih: 12.01.2016</v>
      </c>
      <c r="O50" s="81"/>
    </row>
    <row r="51" spans="1:15" x14ac:dyDescent="0.2">
      <c r="A51" s="18" t="str">
        <f>A29</f>
        <v>İmza:</v>
      </c>
      <c r="B51" s="42"/>
      <c r="C51" s="19"/>
      <c r="D51" s="18" t="str">
        <f>A29</f>
        <v>İmza:</v>
      </c>
      <c r="E51" s="42"/>
      <c r="F51" s="19"/>
      <c r="H51" s="18" t="str">
        <f>A29</f>
        <v>İmza:</v>
      </c>
      <c r="I51" s="42"/>
      <c r="J51" s="18" t="str">
        <f>A29</f>
        <v>İmza:</v>
      </c>
      <c r="K51" s="19"/>
      <c r="L51" s="18" t="str">
        <f>A29</f>
        <v>İmza:</v>
      </c>
      <c r="M51" s="19"/>
      <c r="N51" s="18" t="str">
        <f>A29</f>
        <v>İmza:</v>
      </c>
      <c r="O51" s="19"/>
    </row>
    <row r="53" spans="1:15" hidden="1" x14ac:dyDescent="0.2"/>
    <row r="54" spans="1:15" hidden="1" x14ac:dyDescent="0.2"/>
    <row r="55" spans="1:15" hidden="1" x14ac:dyDescent="0.2"/>
    <row r="57" spans="1:15" ht="16.5" x14ac:dyDescent="0.3">
      <c r="A57" s="9" t="s">
        <v>21</v>
      </c>
      <c r="B57" s="63"/>
      <c r="C57" s="10"/>
      <c r="D57" s="10"/>
      <c r="E57" s="10"/>
      <c r="F57" s="51"/>
      <c r="G57" s="23"/>
      <c r="H57" s="28" t="s">
        <v>23</v>
      </c>
      <c r="I57" s="29"/>
      <c r="J57" s="29"/>
      <c r="K57" s="35" t="s">
        <v>20</v>
      </c>
      <c r="L57" s="29"/>
      <c r="M57" s="29"/>
      <c r="N57" s="30"/>
    </row>
    <row r="58" spans="1:15" ht="42" customHeight="1" x14ac:dyDescent="0.2">
      <c r="A58" s="25"/>
      <c r="B58" s="64"/>
      <c r="C58" s="14"/>
      <c r="D58" s="14"/>
      <c r="E58" s="14"/>
      <c r="F58" s="52"/>
      <c r="G58" s="23"/>
      <c r="H58" s="185"/>
      <c r="I58" s="186"/>
      <c r="J58" s="187"/>
      <c r="K58" s="188"/>
      <c r="L58" s="189"/>
      <c r="M58" s="189"/>
      <c r="N58" s="190"/>
    </row>
    <row r="59" spans="1:15" ht="16.5" x14ac:dyDescent="0.2">
      <c r="A59" s="13"/>
      <c r="B59" s="65"/>
      <c r="C59" s="14"/>
      <c r="D59" s="14"/>
      <c r="E59" s="14"/>
      <c r="F59" s="52"/>
      <c r="G59" s="23"/>
      <c r="H59" s="31"/>
      <c r="I59" s="27"/>
      <c r="J59" s="27"/>
      <c r="K59" s="37"/>
      <c r="L59" s="27"/>
      <c r="M59" s="27"/>
      <c r="N59" s="33"/>
    </row>
    <row r="60" spans="1:15" x14ac:dyDescent="0.2">
      <c r="A60" s="20"/>
      <c r="B60" s="66"/>
      <c r="C60" s="21"/>
      <c r="D60" s="21"/>
      <c r="E60" s="21"/>
      <c r="F60" s="53"/>
      <c r="G60" s="23"/>
      <c r="H60" s="34"/>
      <c r="I60" s="24"/>
      <c r="J60" s="24"/>
      <c r="K60" s="34"/>
      <c r="L60" s="24"/>
      <c r="M60" s="24"/>
      <c r="N60" s="22"/>
    </row>
    <row r="61" spans="1:15" x14ac:dyDescent="0.2">
      <c r="C61" t="s">
        <v>0</v>
      </c>
    </row>
    <row r="63" spans="1:15" ht="18" x14ac:dyDescent="0.25">
      <c r="A63" s="3" t="s">
        <v>24</v>
      </c>
      <c r="B63" s="3"/>
      <c r="G63" s="38" t="str">
        <f>N37</f>
        <v xml:space="preserve">Dönem: </v>
      </c>
      <c r="H63" s="155">
        <f>O37</f>
        <v>0</v>
      </c>
      <c r="I63" s="155"/>
      <c r="K63" s="38"/>
      <c r="L63" s="38"/>
    </row>
    <row r="65" spans="1:26" x14ac:dyDescent="0.2">
      <c r="A65" s="151" t="s">
        <v>6</v>
      </c>
      <c r="B65" s="152"/>
      <c r="C65" s="152"/>
      <c r="D65" s="157" t="s">
        <v>22</v>
      </c>
      <c r="E65" s="157"/>
      <c r="F65" s="184" t="s">
        <v>6</v>
      </c>
      <c r="G65" s="184"/>
      <c r="H65" s="184"/>
      <c r="I65" s="184"/>
      <c r="L65" s="48"/>
      <c r="M65" s="48"/>
    </row>
    <row r="66" spans="1:26" ht="12.75" customHeight="1" x14ac:dyDescent="0.2">
      <c r="A66" s="163" t="s">
        <v>7</v>
      </c>
      <c r="B66" s="163" t="s">
        <v>8</v>
      </c>
      <c r="C66" s="163" t="s">
        <v>9</v>
      </c>
      <c r="D66" s="153" t="s">
        <v>25</v>
      </c>
      <c r="E66" s="154" t="s">
        <v>26</v>
      </c>
      <c r="F66" s="153" t="s">
        <v>28</v>
      </c>
      <c r="G66" s="154" t="s">
        <v>26</v>
      </c>
      <c r="H66" s="153" t="s">
        <v>14</v>
      </c>
      <c r="I66" s="154" t="s">
        <v>27</v>
      </c>
      <c r="L66" s="55"/>
      <c r="M66" s="23"/>
    </row>
    <row r="67" spans="1:26" ht="59.25" customHeight="1" x14ac:dyDescent="0.2">
      <c r="A67" s="164"/>
      <c r="B67" s="164"/>
      <c r="C67" s="164"/>
      <c r="D67" s="154"/>
      <c r="E67" s="154"/>
      <c r="F67" s="153"/>
      <c r="G67" s="154"/>
      <c r="H67" s="154"/>
      <c r="I67" s="154"/>
      <c r="L67" s="55"/>
      <c r="M67" s="55"/>
    </row>
    <row r="68" spans="1:26" x14ac:dyDescent="0.2">
      <c r="A68" s="60">
        <v>1</v>
      </c>
      <c r="B68" s="60">
        <v>2</v>
      </c>
      <c r="C68" s="60">
        <v>3</v>
      </c>
      <c r="D68" s="60">
        <v>4</v>
      </c>
      <c r="E68" s="60">
        <v>5</v>
      </c>
      <c r="F68" s="60">
        <v>6</v>
      </c>
      <c r="G68" s="60">
        <v>7</v>
      </c>
      <c r="H68" s="71" t="s">
        <v>3</v>
      </c>
      <c r="I68" s="60">
        <v>9</v>
      </c>
      <c r="J68" s="59"/>
      <c r="K68" s="45"/>
      <c r="L68" s="59"/>
      <c r="M68" s="59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</row>
    <row r="69" spans="1:26" x14ac:dyDescent="0.2">
      <c r="J69" s="59"/>
      <c r="K69" s="45"/>
      <c r="L69" s="59"/>
      <c r="M69" s="59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</row>
    <row r="70" spans="1:26" x14ac:dyDescent="0.2">
      <c r="J70" s="24"/>
      <c r="K70" s="24"/>
    </row>
    <row r="71" spans="1:26" x14ac:dyDescent="0.2">
      <c r="A71" s="7" t="str">
        <f>A48</f>
        <v/>
      </c>
      <c r="B71" s="39" t="str">
        <f>B48</f>
        <v/>
      </c>
      <c r="C71" s="8" t="str">
        <f>C48&amp;""</f>
        <v/>
      </c>
      <c r="D71" s="7" t="str">
        <f>D48&amp;""</f>
        <v/>
      </c>
      <c r="E71" s="39" t="str">
        <f>E48&amp;""</f>
        <v/>
      </c>
      <c r="F71" s="54" t="str">
        <f>F48&amp;""</f>
        <v/>
      </c>
      <c r="H71" s="7" t="str">
        <f>H48</f>
        <v/>
      </c>
      <c r="I71" s="67" t="str">
        <f>I48</f>
        <v/>
      </c>
      <c r="J71" s="7" t="str">
        <f>J48</f>
        <v/>
      </c>
      <c r="K71" s="8" t="str">
        <f>K48</f>
        <v/>
      </c>
      <c r="L71" s="39" t="str">
        <f>L48</f>
        <v/>
      </c>
      <c r="M71" s="8" t="str">
        <f>M48</f>
        <v/>
      </c>
      <c r="N71" s="7" t="str">
        <f>N48</f>
        <v/>
      </c>
      <c r="O71" s="54" t="str">
        <f>O48</f>
        <v/>
      </c>
    </row>
    <row r="72" spans="1:26" x14ac:dyDescent="0.2">
      <c r="A72" s="11"/>
      <c r="B72" s="40"/>
      <c r="C72" s="12"/>
      <c r="D72" s="11"/>
      <c r="E72" s="40"/>
      <c r="F72" s="12"/>
      <c r="H72" s="11"/>
      <c r="I72" s="40"/>
      <c r="J72" s="11"/>
      <c r="K72" s="12"/>
      <c r="L72" s="11"/>
      <c r="M72" s="12"/>
      <c r="N72" s="11"/>
      <c r="O72" s="12"/>
    </row>
    <row r="73" spans="1:26" x14ac:dyDescent="0.2">
      <c r="A73" s="16" t="str">
        <f>H28</f>
        <v>Tarih: 12.01.2016</v>
      </c>
      <c r="B73" s="41"/>
      <c r="C73" s="17"/>
      <c r="D73" s="16" t="str">
        <f>H28</f>
        <v>Tarih: 12.01.2016</v>
      </c>
      <c r="E73" s="41"/>
      <c r="F73" s="17"/>
      <c r="H73" s="16" t="str">
        <f>H28</f>
        <v>Tarih: 12.01.2016</v>
      </c>
      <c r="I73" s="79"/>
      <c r="J73" s="16" t="str">
        <f>H28</f>
        <v>Tarih: 12.01.2016</v>
      </c>
      <c r="K73" s="81"/>
      <c r="L73" s="16" t="str">
        <f>H28</f>
        <v>Tarih: 12.01.2016</v>
      </c>
      <c r="M73" s="81"/>
      <c r="N73" s="16" t="str">
        <f>H28</f>
        <v>Tarih: 12.01.2016</v>
      </c>
      <c r="O73" s="81"/>
    </row>
    <row r="74" spans="1:26" x14ac:dyDescent="0.2">
      <c r="A74" s="18" t="str">
        <f>A29</f>
        <v>İmza:</v>
      </c>
      <c r="B74" s="42"/>
      <c r="C74" s="19"/>
      <c r="D74" s="18" t="str">
        <f>A29</f>
        <v>İmza:</v>
      </c>
      <c r="E74" s="42"/>
      <c r="F74" s="19"/>
      <c r="H74" s="18" t="str">
        <f>A29</f>
        <v>İmza:</v>
      </c>
      <c r="I74" s="42"/>
      <c r="J74" s="18" t="str">
        <f>A29</f>
        <v>İmza:</v>
      </c>
      <c r="K74" s="19"/>
      <c r="L74" s="18" t="str">
        <f>A29</f>
        <v>İmza:</v>
      </c>
      <c r="M74" s="19"/>
      <c r="N74" s="18" t="str">
        <f>A29</f>
        <v>İmza:</v>
      </c>
      <c r="O74" s="19"/>
    </row>
    <row r="76" spans="1:26" ht="16.5" x14ac:dyDescent="0.3">
      <c r="A76" s="9" t="s">
        <v>21</v>
      </c>
      <c r="B76" s="63"/>
      <c r="C76" s="10"/>
      <c r="D76" s="10"/>
      <c r="E76" s="10"/>
      <c r="F76" s="51"/>
      <c r="G76" s="23"/>
      <c r="H76" s="28" t="s">
        <v>23</v>
      </c>
      <c r="I76" s="29"/>
      <c r="J76" s="29"/>
      <c r="K76" s="35" t="s">
        <v>20</v>
      </c>
      <c r="L76" s="29"/>
      <c r="M76" s="29"/>
      <c r="N76" s="30"/>
    </row>
    <row r="77" spans="1:26" ht="16.5" x14ac:dyDescent="0.3">
      <c r="A77" s="25"/>
      <c r="B77" s="64"/>
      <c r="C77" s="14"/>
      <c r="D77" s="14"/>
      <c r="E77" s="14"/>
      <c r="F77" s="52"/>
      <c r="G77" s="23"/>
      <c r="H77" s="31" t="s">
        <v>16</v>
      </c>
      <c r="I77" s="26"/>
      <c r="J77" s="26"/>
      <c r="K77" s="36"/>
      <c r="L77" s="26"/>
      <c r="M77" s="26"/>
      <c r="N77" s="32"/>
    </row>
    <row r="78" spans="1:26" ht="16.5" x14ac:dyDescent="0.2">
      <c r="A78" s="13"/>
      <c r="B78" s="65"/>
      <c r="C78" s="14"/>
      <c r="D78" s="14"/>
      <c r="E78" s="14"/>
      <c r="F78" s="52"/>
      <c r="G78" s="23"/>
      <c r="H78" s="31"/>
      <c r="I78" s="27"/>
      <c r="J78" s="27"/>
      <c r="K78" s="37"/>
      <c r="L78" s="27"/>
      <c r="M78" s="27"/>
      <c r="N78" s="33"/>
    </row>
    <row r="79" spans="1:26" x14ac:dyDescent="0.2">
      <c r="A79" s="20"/>
      <c r="B79" s="66"/>
      <c r="C79" s="21"/>
      <c r="D79" s="21"/>
      <c r="E79" s="21"/>
      <c r="F79" s="53"/>
      <c r="G79" s="23"/>
      <c r="H79" s="34"/>
      <c r="I79" s="24"/>
      <c r="J79" s="24"/>
      <c r="K79" s="34"/>
      <c r="L79" s="24"/>
      <c r="M79" s="24"/>
      <c r="N79" s="22"/>
    </row>
  </sheetData>
  <mergeCells count="55">
    <mergeCell ref="L40:M41"/>
    <mergeCell ref="N40:O41"/>
    <mergeCell ref="F66:F67"/>
    <mergeCell ref="F65:I65"/>
    <mergeCell ref="G66:G67"/>
    <mergeCell ref="H66:H67"/>
    <mergeCell ref="H58:J58"/>
    <mergeCell ref="K58:N58"/>
    <mergeCell ref="I66:I67"/>
    <mergeCell ref="I40:I42"/>
    <mergeCell ref="K40:K42"/>
    <mergeCell ref="J40:J42"/>
    <mergeCell ref="C11:M11"/>
    <mergeCell ref="D17:H17"/>
    <mergeCell ref="N19:O19"/>
    <mergeCell ref="A17:C18"/>
    <mergeCell ref="D18:G18"/>
    <mergeCell ref="I17:P18"/>
    <mergeCell ref="C19:C20"/>
    <mergeCell ref="M19:M20"/>
    <mergeCell ref="D19:D20"/>
    <mergeCell ref="E19:E20"/>
    <mergeCell ref="U19:U20"/>
    <mergeCell ref="V19:V20"/>
    <mergeCell ref="P19:P20"/>
    <mergeCell ref="A19:A20"/>
    <mergeCell ref="G19:G20"/>
    <mergeCell ref="L19:L20"/>
    <mergeCell ref="K19:K20"/>
    <mergeCell ref="I19:I20"/>
    <mergeCell ref="J19:J20"/>
    <mergeCell ref="B19:B20"/>
    <mergeCell ref="H19:H20"/>
    <mergeCell ref="F19:F20"/>
    <mergeCell ref="E40:E42"/>
    <mergeCell ref="D40:D42"/>
    <mergeCell ref="B40:B42"/>
    <mergeCell ref="A40:A42"/>
    <mergeCell ref="F40:F42"/>
    <mergeCell ref="A65:C65"/>
    <mergeCell ref="D66:D67"/>
    <mergeCell ref="O14:P14"/>
    <mergeCell ref="O37:P37"/>
    <mergeCell ref="H63:I63"/>
    <mergeCell ref="D39:H39"/>
    <mergeCell ref="G40:H41"/>
    <mergeCell ref="I39:P39"/>
    <mergeCell ref="D65:E65"/>
    <mergeCell ref="A66:A67"/>
    <mergeCell ref="E66:E67"/>
    <mergeCell ref="B66:B67"/>
    <mergeCell ref="C66:C67"/>
    <mergeCell ref="C40:C42"/>
    <mergeCell ref="P40:P42"/>
    <mergeCell ref="A39:C39"/>
  </mergeCells>
  <phoneticPr fontId="4" type="noConversion"/>
  <pageMargins left="0.5" right="0.43" top="0.81" bottom="0.81" header="0.5" footer="0.5"/>
  <pageSetup paperSize="9" scale="37" fitToHeight="0" orientation="landscape" verticalDpi="599" r:id="rId1"/>
  <headerFooter alignWithMargins="0"/>
  <rowBreaks count="2" manualBreakCount="2">
    <brk id="36" max="15" man="1"/>
    <brk id="62" max="15" man="1"/>
  </rowBreaks>
  <colBreaks count="1" manualBreakCount="1">
    <brk id="26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15</vt:i4>
      </vt:variant>
    </vt:vector>
  </HeadingPairs>
  <TitlesOfParts>
    <vt:vector size="16" baseType="lpstr">
      <vt:lpstr>6406</vt:lpstr>
      <vt:lpstr>BaslaSatir1</vt:lpstr>
      <vt:lpstr>BaslaSatir2</vt:lpstr>
      <vt:lpstr>BaslaSatir3</vt:lpstr>
      <vt:lpstr>Donem</vt:lpstr>
      <vt:lpstr>FormatSatir1</vt:lpstr>
      <vt:lpstr>FormatSatir2</vt:lpstr>
      <vt:lpstr>FormatSatir3</vt:lpstr>
      <vt:lpstr>hazirlayan</vt:lpstr>
      <vt:lpstr>hazirlayanUnv</vt:lpstr>
      <vt:lpstr>kontrolEden</vt:lpstr>
      <vt:lpstr>kontrolEdenUnv</vt:lpstr>
      <vt:lpstr>onaylayan</vt:lpstr>
      <vt:lpstr>onaylayanUnv</vt:lpstr>
      <vt:lpstr>uygunBulan</vt:lpstr>
      <vt:lpstr>uygunBulanUnv</vt:lpstr>
    </vt:vector>
  </TitlesOfParts>
  <Company>Noble Invest OU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 Larin</dc:creator>
  <cp:lastModifiedBy>Can</cp:lastModifiedBy>
  <cp:lastPrinted>2016-02-02T14:52:31Z</cp:lastPrinted>
  <dcterms:created xsi:type="dcterms:W3CDTF">2009-12-30T18:51:51Z</dcterms:created>
  <dcterms:modified xsi:type="dcterms:W3CDTF">2017-12-18T14:12:48Z</dcterms:modified>
</cp:coreProperties>
</file>