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CanDosyalar\"/>
    </mc:Choice>
  </mc:AlternateContent>
  <bookViews>
    <workbookView xWindow="0" yWindow="0" windowWidth="23040" windowHeight="9396"/>
  </bookViews>
  <sheets>
    <sheet name="Sayfa1" sheetId="1" r:id="rId1"/>
  </sheets>
  <definedNames>
    <definedName name="BaslaSatir">Sayfa1!$A$15</definedName>
    <definedName name="baslaTar">Sayfa1!$A$1</definedName>
    <definedName name="bitisTar">Sayfa1!$B$1</definedName>
    <definedName name="FormatSatir">Sayfa1!$A$3:$X$3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T12" i="1" s="1"/>
  <c r="D1" i="1"/>
  <c r="L12" i="1" s="1"/>
  <c r="E1" i="1"/>
  <c r="W12" i="1" s="1"/>
  <c r="C1" i="1"/>
  <c r="F1" i="1" s="1"/>
  <c r="J12" i="1" s="1"/>
  <c r="V12" i="1" l="1"/>
  <c r="P12" i="1"/>
  <c r="R12" i="1"/>
</calcChain>
</file>

<file path=xl/sharedStrings.xml><?xml version="1.0" encoding="utf-8"?>
<sst xmlns="http://schemas.openxmlformats.org/spreadsheetml/2006/main" count="52" uniqueCount="38">
  <si>
    <t>Debtor Name</t>
  </si>
  <si>
    <t>Application ID</t>
  </si>
  <si>
    <t>Programme</t>
  </si>
  <si>
    <t>National Currency</t>
  </si>
  <si>
    <t>Project Number</t>
  </si>
  <si>
    <t>Case Identification Number</t>
  </si>
  <si>
    <t>OLAF Number</t>
  </si>
  <si>
    <t>Date of PACA</t>
  </si>
  <si>
    <t>Date of the debt</t>
  </si>
  <si>
    <t>Differences</t>
  </si>
  <si>
    <t>a</t>
  </si>
  <si>
    <t>b</t>
  </si>
  <si>
    <t>c</t>
  </si>
  <si>
    <t>d</t>
  </si>
  <si>
    <t>e</t>
  </si>
  <si>
    <t>f</t>
  </si>
  <si>
    <t>g</t>
  </si>
  <si>
    <t>h</t>
  </si>
  <si>
    <t>l</t>
  </si>
  <si>
    <t>k</t>
  </si>
  <si>
    <t>m=k-h</t>
  </si>
  <si>
    <t>n=I-l</t>
  </si>
  <si>
    <t>o</t>
  </si>
  <si>
    <t>p</t>
  </si>
  <si>
    <t>q</t>
  </si>
  <si>
    <t>r</t>
  </si>
  <si>
    <t>s</t>
  </si>
  <si>
    <t>t</t>
  </si>
  <si>
    <t>u</t>
  </si>
  <si>
    <t>v=k+o+q+s+u</t>
  </si>
  <si>
    <t>w</t>
  </si>
  <si>
    <t>Principal</t>
  </si>
  <si>
    <t>Interest</t>
  </si>
  <si>
    <t xml:space="preserve">IPARD debts table according to Section 6.1.3 of the Guidelines for closure of the IPARD programmes 2007-2013 </t>
  </si>
  <si>
    <t>Country</t>
  </si>
  <si>
    <t>Turkey</t>
  </si>
  <si>
    <t>IPARD Agency</t>
  </si>
  <si>
    <t>ARDSI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</si>
</sst>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162"/>
      <scheme val="minor"/>
    </font>
    <font>
      <sz val="11"/>
      <color theme="1"/>
      <name val="Times New Roman"/>
      <family val="1"/>
      <charset val="162"/>
    </font>
    <font>
      <sz val="11"/>
      <name val="Times New Roman"/>
      <family val="1"/>
      <charset val="162"/>
    </font>
    <font>
      <b/>
      <sz val="11"/>
      <color theme="1"/>
      <name val="Times New Roman"/>
      <family val="1"/>
      <charset val="162"/>
    </font>
    <font>
      <b/>
      <sz val="14"/>
      <name val="Times New Roman"/>
      <family val="1"/>
      <charset val="162"/>
    </font>
    <font>
      <b/>
      <sz val="24"/>
      <color theme="1"/>
      <name val="Times New Roman"/>
      <family val="1"/>
      <charset val="162"/>
    </font>
  </fonts>
  <fills count="3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14" fontId="1" fillId="0" borderId="0" xfId="0" applyNumberFormat="1" applyFont="1" applyAlignment="1">
      <alignment vertical="center"/>
    </xf>
    <xf numFmtId="14" fontId="1" fillId="0" borderId="0" xfId="0" applyNumberFormat="1" applyFont="1"/>
    <xf numFmtId="0" fontId="1" fillId="0" borderId="0" xfId="0" applyFont="1"/>
    <xf numFmtId="0" fontId="1" fillId="0" borderId="0" xfId="0" applyFont="1" applyAlignment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  <xf numFmtId="14" fontId="2" fillId="0" borderId="1" xfId="0" applyNumberFormat="1" applyFont="1" applyFill="1" applyBorder="1" applyAlignment="1">
      <alignment horizontal="center" vertical="center" wrapText="1"/>
    </xf>
    <xf numFmtId="4" fontId="2" fillId="0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4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4"/>
  <sheetViews>
    <sheetView tabSelected="1" topLeftCell="A5" workbookViewId="0">
      <selection activeCell="A15" sqref="A15"/>
    </sheetView>
  </sheetViews>
  <sheetFormatPr defaultRowHeight="13.8" x14ac:dyDescent="0.3"/>
  <cols>
    <col min="1" max="1" width="31.33203125" style="4" customWidth="1"/>
    <col min="2" max="2" width="21.6640625" style="4" bestFit="1" customWidth="1"/>
    <col min="3" max="3" width="21.5546875" style="4" customWidth="1"/>
    <col min="4" max="4" width="25.109375" style="4" customWidth="1"/>
    <col min="5" max="7" width="21.5546875" style="4" customWidth="1"/>
    <col min="8" max="8" width="31.109375" style="4" customWidth="1"/>
    <col min="9" max="24" width="21.5546875" style="4" customWidth="1"/>
    <col min="25" max="16384" width="8.88671875" style="4"/>
  </cols>
  <sheetData>
    <row r="1" spans="1:24" hidden="1" x14ac:dyDescent="0.25">
      <c r="A1" s="1">
        <v>43831</v>
      </c>
      <c r="B1" s="2">
        <v>44196</v>
      </c>
      <c r="C1" s="2">
        <f>baslaTar-1</f>
        <v>43830</v>
      </c>
      <c r="D1" s="3" t="str">
        <f>TEXT(DAY(A1),"00")&amp;"."&amp;TEXT(MONTH(A1),"00")&amp;"."&amp;YEAR(A1)</f>
        <v>01.01.2020</v>
      </c>
      <c r="E1" s="3" t="str">
        <f>TEXT(DAY(B1),"00")&amp;"."&amp;TEXT(MONTH(B1),"00")&amp;"."&amp;YEAR(B1)</f>
        <v>31.12.2020</v>
      </c>
      <c r="F1" s="3" t="str">
        <f>TEXT(DAY(C1),"00")&amp;"."&amp;TEXT(MONTH(C1),"00")&amp;"."&amp;YEAR(C1)</f>
        <v>31.12.2019</v>
      </c>
      <c r="G1" s="4">
        <f>YEAR(A1)</f>
        <v>2020</v>
      </c>
    </row>
    <row r="2" spans="1:24" hidden="1" x14ac:dyDescent="0.3"/>
    <row r="3" spans="1:24" hidden="1" x14ac:dyDescent="0.3">
      <c r="A3" s="5"/>
      <c r="B3" s="5"/>
      <c r="C3" s="6"/>
      <c r="D3" s="6"/>
      <c r="E3" s="7"/>
      <c r="F3" s="5"/>
      <c r="G3" s="5"/>
      <c r="H3" s="8"/>
      <c r="I3" s="8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</row>
    <row r="4" spans="1:24" hidden="1" x14ac:dyDescent="0.3"/>
    <row r="6" spans="1:24" ht="40.200000000000003" customHeight="1" x14ac:dyDescent="0.3">
      <c r="A6" s="16" t="s">
        <v>33</v>
      </c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</row>
    <row r="8" spans="1:24" x14ac:dyDescent="0.3">
      <c r="A8" s="18" t="s">
        <v>34</v>
      </c>
      <c r="B8" s="18" t="s">
        <v>35</v>
      </c>
    </row>
    <row r="9" spans="1:24" x14ac:dyDescent="0.3">
      <c r="A9" s="17"/>
      <c r="B9" s="17"/>
    </row>
    <row r="10" spans="1:24" x14ac:dyDescent="0.3">
      <c r="A10" s="18" t="s">
        <v>36</v>
      </c>
      <c r="B10" s="18" t="s">
        <v>37</v>
      </c>
    </row>
    <row r="12" spans="1:24" ht="27.6" x14ac:dyDescent="0.3">
      <c r="A12" s="10" t="s">
        <v>0</v>
      </c>
      <c r="B12" s="10" t="s">
        <v>1</v>
      </c>
      <c r="C12" s="11" t="s">
        <v>2</v>
      </c>
      <c r="D12" s="11" t="s">
        <v>3</v>
      </c>
      <c r="E12" s="11" t="s">
        <v>4</v>
      </c>
      <c r="F12" s="11" t="s">
        <v>5</v>
      </c>
      <c r="G12" s="11" t="s">
        <v>6</v>
      </c>
      <c r="H12" s="11" t="s">
        <v>7</v>
      </c>
      <c r="I12" s="11" t="s">
        <v>8</v>
      </c>
      <c r="J12" s="12" t="str">
        <f>"Closing balance " &amp; F1</f>
        <v>Closing balance 31.12.2019</v>
      </c>
      <c r="K12" s="12"/>
      <c r="L12" s="12" t="str">
        <f>"Opening balance " &amp; D1</f>
        <v>Opening balance 01.01.2020</v>
      </c>
      <c r="M12" s="12"/>
      <c r="N12" s="12" t="s">
        <v>9</v>
      </c>
      <c r="O12" s="12"/>
      <c r="P12" s="12" t="str">
        <f>"New debts" &amp;CHAR(13)&amp;CHAR(10)&amp;
"(year "&amp;G1&amp;")"</f>
        <v>New debts_x000D_
(year 2020)</v>
      </c>
      <c r="Q12" s="12"/>
      <c r="R12" s="12" t="str">
        <f>"Corrected amount" &amp;CHAR(13)&amp;CHAR(10)&amp;
"(year "&amp;G1&amp;")"</f>
        <v>Corrected amount_x000D_
(year 2020)</v>
      </c>
      <c r="S12" s="12"/>
      <c r="T12" s="12" t="str">
        <f>"Recovered amount" &amp;CHAR(13)&amp;CHAR(10)&amp;
"(year "&amp;G1&amp;")"</f>
        <v>Recovered amount_x000D_
(year 2020)</v>
      </c>
      <c r="U12" s="12"/>
      <c r="V12" s="11" t="str">
        <f>"Amount Written off" &amp;CHAR(13)&amp;CHAR(10)&amp;
"(year "&amp;G1&amp;")"</f>
        <v>Amount Written off_x000D_
(year 2020)</v>
      </c>
      <c r="W12" s="12" t="str">
        <f>"Amount for which recovery is on-going (Closing Balance-"&amp;E1&amp;")"</f>
        <v>Amount for which recovery is on-going (Closing Balance-31.12.2020)</v>
      </c>
      <c r="X12" s="12"/>
    </row>
    <row r="13" spans="1:24" ht="12" customHeight="1" x14ac:dyDescent="0.3">
      <c r="A13" s="13"/>
      <c r="B13" s="13"/>
      <c r="C13" s="10" t="s">
        <v>10</v>
      </c>
      <c r="D13" s="10" t="s">
        <v>11</v>
      </c>
      <c r="E13" s="10" t="s">
        <v>12</v>
      </c>
      <c r="F13" s="10" t="s">
        <v>13</v>
      </c>
      <c r="G13" s="10" t="s">
        <v>14</v>
      </c>
      <c r="H13" s="10" t="s">
        <v>15</v>
      </c>
      <c r="I13" s="10" t="s">
        <v>16</v>
      </c>
      <c r="J13" s="10" t="s">
        <v>17</v>
      </c>
      <c r="K13" s="10" t="s">
        <v>18</v>
      </c>
      <c r="L13" s="10" t="s">
        <v>19</v>
      </c>
      <c r="M13" s="10" t="s">
        <v>18</v>
      </c>
      <c r="N13" s="10" t="s">
        <v>20</v>
      </c>
      <c r="O13" s="10" t="s">
        <v>21</v>
      </c>
      <c r="P13" s="10" t="s">
        <v>22</v>
      </c>
      <c r="Q13" s="10" t="s">
        <v>23</v>
      </c>
      <c r="R13" s="10" t="s">
        <v>24</v>
      </c>
      <c r="S13" s="10" t="s">
        <v>25</v>
      </c>
      <c r="T13" s="10" t="s">
        <v>26</v>
      </c>
      <c r="U13" s="10" t="s">
        <v>27</v>
      </c>
      <c r="V13" s="10" t="s">
        <v>28</v>
      </c>
      <c r="W13" s="11" t="s">
        <v>29</v>
      </c>
      <c r="X13" s="14" t="s">
        <v>30</v>
      </c>
    </row>
    <row r="14" spans="1:24" ht="12" customHeight="1" x14ac:dyDescent="0.3">
      <c r="A14" s="10"/>
      <c r="B14" s="10"/>
      <c r="C14" s="15"/>
      <c r="D14" s="15"/>
      <c r="E14" s="15"/>
      <c r="F14" s="15"/>
      <c r="G14" s="15"/>
      <c r="H14" s="15"/>
      <c r="I14" s="15"/>
      <c r="J14" s="11" t="s">
        <v>31</v>
      </c>
      <c r="K14" s="11" t="s">
        <v>32</v>
      </c>
      <c r="L14" s="11" t="s">
        <v>31</v>
      </c>
      <c r="M14" s="11" t="s">
        <v>32</v>
      </c>
      <c r="N14" s="11" t="s">
        <v>31</v>
      </c>
      <c r="O14" s="11" t="s">
        <v>32</v>
      </c>
      <c r="P14" s="11" t="s">
        <v>31</v>
      </c>
      <c r="Q14" s="11" t="s">
        <v>32</v>
      </c>
      <c r="R14" s="11" t="s">
        <v>31</v>
      </c>
      <c r="S14" s="11" t="s">
        <v>32</v>
      </c>
      <c r="T14" s="11" t="s">
        <v>31</v>
      </c>
      <c r="U14" s="11" t="s">
        <v>32</v>
      </c>
      <c r="V14" s="11" t="s">
        <v>31</v>
      </c>
      <c r="W14" s="11" t="s">
        <v>31</v>
      </c>
      <c r="X14" s="11" t="s">
        <v>32</v>
      </c>
    </row>
  </sheetData>
  <mergeCells count="8">
    <mergeCell ref="W12:X12"/>
    <mergeCell ref="A6:X6"/>
    <mergeCell ref="J12:K12"/>
    <mergeCell ref="L12:M12"/>
    <mergeCell ref="N12:O12"/>
    <mergeCell ref="P12:Q12"/>
    <mergeCell ref="R12:S12"/>
    <mergeCell ref="T12:U12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4</vt:i4>
      </vt:variant>
    </vt:vector>
  </HeadingPairs>
  <TitlesOfParts>
    <vt:vector size="5" baseType="lpstr">
      <vt:lpstr>Sayfa1</vt:lpstr>
      <vt:lpstr>BaslaSatir</vt:lpstr>
      <vt:lpstr>baslaTar</vt:lpstr>
      <vt:lpstr>bitisTar</vt:lpstr>
      <vt:lpstr>FormatSatir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dcterms:created xsi:type="dcterms:W3CDTF">2021-01-11T20:46:54Z</dcterms:created>
  <dcterms:modified xsi:type="dcterms:W3CDTF">2021-01-11T21:30:01Z</dcterms:modified>
</cp:coreProperties>
</file>