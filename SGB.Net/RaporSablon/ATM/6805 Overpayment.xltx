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3040" windowHeight="8640"/>
  </bookViews>
  <sheets>
    <sheet name="Sayfa1" sheetId="1" r:id="rId1"/>
    <sheet name="Sayfa2" sheetId="2" r:id="rId2"/>
    <sheet name="Sayfa3" sheetId="3" r:id="rId3"/>
  </sheets>
  <definedNames>
    <definedName name="_ftn1" localSheetId="0">Sayfa1!$B$9</definedName>
    <definedName name="_ftn2" localSheetId="0">Sayfa1!$B$34</definedName>
    <definedName name="_ftnref1" localSheetId="0">Sayfa1!$B$6</definedName>
    <definedName name="_ftnref2" localSheetId="0">Sayfa1!$Q$26</definedName>
    <definedName name="borcluAd">Sayfa1!$G$10</definedName>
    <definedName name="defterSirasi">Sayfa1!$G$6</definedName>
    <definedName name="geriAlimDovizKuru">Sayfa1!$Q$26</definedName>
    <definedName name="geriAlimMiktarAB">Sayfa1!$E$26</definedName>
    <definedName name="geriAlimMiktarABEUR">Sayfa1!$K$26</definedName>
    <definedName name="geriAlimMiktarUlusal">Sayfa1!$F$26</definedName>
    <definedName name="geriAlimMiktarUlusalEUR">Sayfa1!$M$26</definedName>
    <definedName name="geriAlimTarihi">Sayfa1!$L$12</definedName>
    <definedName name="gozdenGeciren">Sayfa1!$J$6</definedName>
    <definedName name="HazirlamaTarihi">Sayfa1!$F$6</definedName>
    <definedName name="hazirlayan">Sayfa1!$H$6</definedName>
    <definedName name="kimlikNo">Sayfa1!$G$11</definedName>
    <definedName name="kontrolEden">Sayfa1!$I$6</definedName>
    <definedName name="onaylayan">Sayfa1!$K$6</definedName>
    <definedName name="onBorcDovizKuru">Sayfa1!$Q$18</definedName>
    <definedName name="onBorcTarihi">Sayfa1!$F$15</definedName>
    <definedName name="uygunBulan">Sayfa1!$L$6</definedName>
  </definedNames>
  <calcPr calcId="152511"/>
</workbook>
</file>

<file path=xl/calcChain.xml><?xml version="1.0" encoding="utf-8"?>
<calcChain xmlns="http://schemas.openxmlformats.org/spreadsheetml/2006/main">
  <c r="L29" i="1" l="1"/>
  <c r="H29" i="1"/>
  <c r="F29" i="1"/>
  <c r="D29" i="1"/>
  <c r="B29" i="1"/>
  <c r="B30" i="1"/>
  <c r="D30" i="1" s="1"/>
  <c r="N11" i="1"/>
  <c r="B7" i="1"/>
  <c r="F7" i="1"/>
  <c r="O30" i="1" l="1"/>
  <c r="F30" i="1"/>
  <c r="L30" i="1"/>
  <c r="H30" i="1"/>
  <c r="H26" i="1"/>
  <c r="O26" i="1"/>
</calcChain>
</file>

<file path=xl/sharedStrings.xml><?xml version="1.0" encoding="utf-8"?>
<sst xmlns="http://schemas.openxmlformats.org/spreadsheetml/2006/main" count="65" uniqueCount="56">
  <si>
    <t>TKDK</t>
  </si>
  <si>
    <t>6805
OVERPAYMENT REPORT</t>
  </si>
  <si>
    <t>Coordination Unit for Payment</t>
  </si>
  <si>
    <t>1.</t>
  </si>
  <si>
    <t xml:space="preserve">Project ID number  </t>
  </si>
  <si>
    <t>2.</t>
  </si>
  <si>
    <t xml:space="preserve">Beneficiary </t>
  </si>
  <si>
    <t>Name:</t>
  </si>
  <si>
    <t>Tax number:</t>
  </si>
  <si>
    <t>3.</t>
  </si>
  <si>
    <t>Reference number:</t>
  </si>
  <si>
    <t>Date of execution:</t>
  </si>
  <si>
    <t>EU contribution</t>
  </si>
  <si>
    <t>National contribution:</t>
  </si>
  <si>
    <t>Total:</t>
  </si>
  <si>
    <t>4.</t>
  </si>
  <si>
    <t>Date on which the overpayment was first noted</t>
  </si>
  <si>
    <t>Repayment by ARDSI to the NF IPARD Euro account</t>
  </si>
  <si>
    <t>National currency (TL)</t>
  </si>
  <si>
    <t>EURO</t>
  </si>
  <si>
    <t>5.</t>
  </si>
  <si>
    <t>EU Contribution</t>
  </si>
  <si>
    <r>
      <t>Transfer order date</t>
    </r>
    <r>
      <rPr>
        <sz val="10"/>
        <color theme="1"/>
        <rFont val="Garamond"/>
        <family val="1"/>
        <charset val="162"/>
      </rPr>
      <t>:</t>
    </r>
  </si>
  <si>
    <t>Coordination Unit for Accounting</t>
  </si>
  <si>
    <t>6.</t>
  </si>
  <si>
    <t>Status regarding the Declaration of Expenditure (Form D1)</t>
  </si>
  <si>
    <t>[Tick as relevant]</t>
  </si>
  <si>
    <t>7.</t>
  </si>
  <si>
    <t>Date of record in ARDSI books:</t>
  </si>
  <si>
    <t>8.</t>
  </si>
  <si>
    <t>Amount overpaid by the ARDSI</t>
  </si>
  <si>
    <t>Sign:</t>
  </si>
  <si>
    <t>ARDSI Payment order to which the overpayment is related</t>
  </si>
  <si>
    <r>
      <t xml:space="preserve">EU Contribution 
</t>
    </r>
    <r>
      <rPr>
        <b/>
        <sz val="10"/>
        <color theme="1"/>
        <rFont val="Garamond"/>
        <family val="1"/>
        <charset val="162"/>
      </rPr>
      <t>1</t>
    </r>
  </si>
  <si>
    <r>
      <t xml:space="preserve">National Contribution 
</t>
    </r>
    <r>
      <rPr>
        <b/>
        <sz val="10"/>
        <color theme="1"/>
        <rFont val="Garamond"/>
        <family val="1"/>
        <charset val="162"/>
      </rPr>
      <t>2</t>
    </r>
  </si>
  <si>
    <r>
      <t xml:space="preserve">Total 
</t>
    </r>
    <r>
      <rPr>
        <b/>
        <sz val="10"/>
        <color theme="1"/>
        <rFont val="Garamond"/>
        <family val="1"/>
        <charset val="162"/>
      </rPr>
      <t>3</t>
    </r>
  </si>
  <si>
    <r>
      <t xml:space="preserve">EU Contribution 
</t>
    </r>
    <r>
      <rPr>
        <b/>
        <sz val="10"/>
        <color theme="1"/>
        <rFont val="Garamond"/>
        <family val="1"/>
        <charset val="162"/>
      </rPr>
      <t>4</t>
    </r>
  </si>
  <si>
    <r>
      <t xml:space="preserve">National Contribution 
</t>
    </r>
    <r>
      <rPr>
        <b/>
        <sz val="10"/>
        <color theme="1"/>
        <rFont val="Garamond"/>
        <family val="1"/>
        <charset val="162"/>
      </rPr>
      <t>5</t>
    </r>
  </si>
  <si>
    <r>
      <t xml:space="preserve">Total 
</t>
    </r>
    <r>
      <rPr>
        <b/>
        <sz val="10"/>
        <color theme="1"/>
        <rFont val="Garamond"/>
        <family val="1"/>
        <charset val="162"/>
      </rPr>
      <t>6</t>
    </r>
  </si>
  <si>
    <t>(1) To be submitted to the NAO within 3 working days after the ARDSI detects the overpayment (Article 39 of the Memorandum of Understanding between the NAO and the IPARD OS)</t>
  </si>
  <si>
    <r>
      <t>OVERPAYMENT REPORT</t>
    </r>
    <r>
      <rPr>
        <b/>
        <vertAlign val="superscript"/>
        <sz val="12"/>
        <color theme="1"/>
        <rFont val="Arial Black"/>
        <family val="2"/>
        <charset val="162"/>
      </rPr>
      <t>(1)</t>
    </r>
  </si>
  <si>
    <t>(2) Article 45 of the Sectoral agreement: rate applicable in the month preceding the month during which the overpayment was first noted</t>
  </si>
  <si>
    <t>(3) Article 45 of the Sectoral agreement: rate applicable on the date the payment order was issued to the final beneficiary</t>
  </si>
  <si>
    <t>Controlled By Senior Accounting Expert:</t>
  </si>
  <si>
    <t>Prepared By Accounting Expert:</t>
  </si>
  <si>
    <t>VERSİYON 10.5.1</t>
  </si>
  <si>
    <t>Acting Coordinator of Payment Unit:</t>
  </si>
  <si>
    <t>General Coordinator Unit for Finance :</t>
  </si>
  <si>
    <r>
      <t xml:space="preserve">ID Number:      </t>
    </r>
    <r>
      <rPr>
        <sz val="10"/>
        <color theme="1"/>
        <rFont val="Garamond"/>
        <family val="1"/>
        <charset val="162"/>
      </rPr>
      <t xml:space="preserve">  </t>
    </r>
    <r>
      <rPr>
        <b/>
        <sz val="10"/>
        <color theme="1"/>
        <rFont val="Garamond"/>
        <family val="1"/>
        <charset val="162"/>
      </rPr>
      <t xml:space="preserve">       </t>
    </r>
    <r>
      <rPr>
        <sz val="10"/>
        <color theme="1"/>
        <rFont val="Garamond"/>
        <family val="1"/>
        <charset val="162"/>
      </rPr>
      <t xml:space="preserve"> </t>
    </r>
    <r>
      <rPr>
        <b/>
        <sz val="10"/>
        <color theme="1"/>
        <rFont val="Garamond"/>
        <family val="1"/>
        <charset val="162"/>
      </rPr>
      <t xml:space="preserve">    </t>
    </r>
  </si>
  <si>
    <t>X  The overpayment has not been incorporated in any previous Declaration of Expenditure and revenue submitted by the ARDSI to the NAO</t>
  </si>
  <si>
    <t>Acting Coordinator of Accounting Unit:</t>
  </si>
  <si>
    <t>President of the ARDSI</t>
  </si>
  <si>
    <t>Transfer order reference:</t>
  </si>
  <si>
    <r>
      <rPr>
        <sz val="10"/>
        <color theme="1"/>
        <rFont val="Wingdings 2"/>
        <family val="1"/>
        <charset val="2"/>
      </rPr>
      <t xml:space="preserve">   </t>
    </r>
    <r>
      <rPr>
        <sz val="10"/>
        <color theme="1"/>
        <rFont val="Garamond"/>
        <family val="1"/>
        <charset val="162"/>
      </rPr>
      <t>The overpayment has been incorporated in a Declaration of Expenditure and Revenue submitted to NAO on ../../20..</t>
    </r>
  </si>
  <si>
    <r>
      <t>Exchange rate</t>
    </r>
    <r>
      <rPr>
        <vertAlign val="superscript"/>
        <sz val="10"/>
        <color theme="1"/>
        <rFont val="Garamond"/>
        <family val="1"/>
        <charset val="162"/>
      </rPr>
      <t>(3)</t>
    </r>
    <r>
      <rPr>
        <sz val="10"/>
        <color theme="1"/>
        <rFont val="Garamond"/>
        <family val="1"/>
        <charset val="162"/>
      </rPr>
      <t xml:space="preserve">
</t>
    </r>
    <r>
      <rPr>
        <b/>
        <sz val="10"/>
        <color theme="1"/>
        <rFont val="Garamond"/>
        <family val="1"/>
        <charset val="162"/>
      </rPr>
      <t>7</t>
    </r>
  </si>
  <si>
    <r>
      <t>Exchange rate</t>
    </r>
    <r>
      <rPr>
        <vertAlign val="superscript"/>
        <sz val="10"/>
        <color theme="1"/>
        <rFont val="Garamond"/>
        <family val="1"/>
        <charset val="162"/>
      </rPr>
      <t>(2)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</si>
</sst>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0" x14ac:knownFonts="1">
    <font>
      <sz val="11"/>
      <color theme="1"/>
      <name val="Calibri"/>
      <family val="2"/>
      <charset val="162"/>
      <scheme val="minor"/>
    </font>
    <font>
      <b/>
      <sz val="16"/>
      <color indexed="54"/>
      <name val="Tahoma"/>
      <family val="2"/>
      <charset val="162"/>
    </font>
    <font>
      <b/>
      <sz val="12"/>
      <name val="Arial Black"/>
      <family val="2"/>
      <charset val="162"/>
    </font>
    <font>
      <sz val="11"/>
      <color indexed="8"/>
      <name val="Times New Roman"/>
      <family val="1"/>
    </font>
    <font>
      <b/>
      <sz val="14"/>
      <name val="Arial Black"/>
      <family val="2"/>
      <charset val="162"/>
    </font>
    <font>
      <b/>
      <sz val="12"/>
      <color theme="1"/>
      <name val="Arial Black"/>
      <family val="2"/>
      <charset val="162"/>
    </font>
    <font>
      <b/>
      <vertAlign val="superscript"/>
      <sz val="12"/>
      <color theme="1"/>
      <name val="Arial Black"/>
      <family val="2"/>
      <charset val="162"/>
    </font>
    <font>
      <b/>
      <sz val="10"/>
      <color theme="1"/>
      <name val="Garamond"/>
      <family val="1"/>
      <charset val="162"/>
    </font>
    <font>
      <sz val="8"/>
      <color theme="1"/>
      <name val="Times New Roman"/>
      <family val="1"/>
      <charset val="162"/>
    </font>
    <font>
      <u/>
      <sz val="11"/>
      <color theme="10"/>
      <name val="Calibri"/>
      <family val="2"/>
      <charset val="162"/>
      <scheme val="minor"/>
    </font>
    <font>
      <sz val="10"/>
      <color theme="1"/>
      <name val="Garamond"/>
      <family val="1"/>
      <charset val="162"/>
    </font>
    <font>
      <sz val="10"/>
      <color theme="1"/>
      <name val="Wingdings 2"/>
      <family val="1"/>
      <charset val="2"/>
    </font>
    <font>
      <sz val="9"/>
      <color theme="1"/>
      <name val="Times New Roman"/>
      <family val="1"/>
      <charset val="162"/>
    </font>
    <font>
      <sz val="9"/>
      <color theme="1"/>
      <name val="Calibri"/>
      <family val="2"/>
      <charset val="162"/>
      <scheme val="minor"/>
    </font>
    <font>
      <sz val="8"/>
      <color theme="1"/>
      <name val="Garamond"/>
      <family val="1"/>
      <charset val="162"/>
    </font>
    <font>
      <b/>
      <sz val="8"/>
      <color theme="1"/>
      <name val="Garamond"/>
      <family val="1"/>
      <charset val="162"/>
    </font>
    <font>
      <sz val="6"/>
      <color theme="1"/>
      <name val="Garamond"/>
      <family val="1"/>
      <charset val="162"/>
    </font>
    <font>
      <sz val="11"/>
      <color theme="0"/>
      <name val="Calibri"/>
      <family val="2"/>
      <charset val="162"/>
      <scheme val="minor"/>
    </font>
    <font>
      <vertAlign val="superscript"/>
      <sz val="10"/>
      <color theme="1"/>
      <name val="Garamond"/>
      <family val="1"/>
      <charset val="162"/>
    </font>
    <font>
      <sz val="8"/>
      <name val="Segoe U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4">
    <xf numFmtId="0" fontId="0" fillId="0" borderId="0" xfId="0"/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left" vertical="center" wrapText="1"/>
    </xf>
    <xf numFmtId="0" fontId="0" fillId="0" borderId="0" xfId="0" applyAlignment="1"/>
    <xf numFmtId="0" fontId="0" fillId="0" borderId="0" xfId="0" applyBorder="1"/>
    <xf numFmtId="0" fontId="10" fillId="4" borderId="10" xfId="0" applyFont="1" applyFill="1" applyBorder="1" applyAlignment="1">
      <alignment horizontal="center" wrapText="1"/>
    </xf>
    <xf numFmtId="0" fontId="7" fillId="0" borderId="10" xfId="0" applyFont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7" fillId="3" borderId="1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wrapText="1"/>
    </xf>
    <xf numFmtId="0" fontId="4" fillId="0" borderId="6" xfId="0" applyFont="1" applyBorder="1" applyAlignment="1">
      <alignment horizontal="center" wrapText="1"/>
    </xf>
    <xf numFmtId="0" fontId="4" fillId="0" borderId="7" xfId="0" applyFont="1" applyBorder="1" applyAlignment="1">
      <alignment horizontal="center" wrapText="1"/>
    </xf>
    <xf numFmtId="0" fontId="4" fillId="0" borderId="8" xfId="0" applyFont="1" applyBorder="1" applyAlignment="1">
      <alignment horizontal="center" wrapText="1"/>
    </xf>
    <xf numFmtId="0" fontId="4" fillId="0" borderId="9" xfId="0" applyFont="1" applyBorder="1" applyAlignment="1">
      <alignment horizontal="center" wrapText="1"/>
    </xf>
    <xf numFmtId="0" fontId="2" fillId="2" borderId="1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0" fontId="3" fillId="0" borderId="2" xfId="0" applyFont="1" applyFill="1" applyBorder="1" applyAlignment="1">
      <alignment horizontal="center" wrapText="1"/>
    </xf>
    <xf numFmtId="0" fontId="5" fillId="0" borderId="12" xfId="0" applyFont="1" applyBorder="1" applyAlignment="1">
      <alignment horizontal="left"/>
    </xf>
    <xf numFmtId="0" fontId="5" fillId="0" borderId="15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7" fillId="0" borderId="10" xfId="0" applyFont="1" applyBorder="1" applyAlignment="1">
      <alignment horizontal="left" vertical="center"/>
    </xf>
    <xf numFmtId="0" fontId="7" fillId="0" borderId="8" xfId="0" applyFont="1" applyBorder="1" applyAlignment="1">
      <alignment horizontal="left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justify" vertical="center"/>
    </xf>
    <xf numFmtId="0" fontId="11" fillId="0" borderId="10" xfId="0" applyFont="1" applyBorder="1" applyAlignment="1">
      <alignment horizontal="justify" vertical="center"/>
    </xf>
    <xf numFmtId="0" fontId="13" fillId="0" borderId="0" xfId="0" applyFont="1" applyBorder="1" applyAlignment="1">
      <alignment horizontal="left"/>
    </xf>
    <xf numFmtId="0" fontId="7" fillId="5" borderId="10" xfId="0" applyFont="1" applyFill="1" applyBorder="1" applyAlignment="1">
      <alignment horizontal="right" vertical="center"/>
    </xf>
    <xf numFmtId="0" fontId="7" fillId="5" borderId="1" xfId="0" applyFont="1" applyFill="1" applyBorder="1" applyAlignment="1">
      <alignment horizontal="right" vertical="center"/>
    </xf>
    <xf numFmtId="14" fontId="10" fillId="5" borderId="3" xfId="0" applyNumberFormat="1" applyFont="1" applyFill="1" applyBorder="1" applyAlignment="1">
      <alignment horizontal="center" vertical="center"/>
    </xf>
    <xf numFmtId="14" fontId="10" fillId="5" borderId="10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3" fillId="0" borderId="0" xfId="0" applyFont="1" applyBorder="1" applyAlignment="1">
      <alignment horizontal="left" vertical="top" wrapText="1"/>
    </xf>
    <xf numFmtId="0" fontId="13" fillId="0" borderId="11" xfId="0" applyFont="1" applyBorder="1" applyAlignment="1">
      <alignment horizontal="left" vertical="top" wrapText="1"/>
    </xf>
    <xf numFmtId="0" fontId="13" fillId="0" borderId="11" xfId="0" applyFont="1" applyBorder="1" applyAlignment="1">
      <alignment horizontal="left"/>
    </xf>
    <xf numFmtId="4" fontId="10" fillId="0" borderId="10" xfId="0" applyNumberFormat="1" applyFont="1" applyFill="1" applyBorder="1" applyAlignment="1">
      <alignment horizontal="center" vertical="center"/>
    </xf>
    <xf numFmtId="0" fontId="7" fillId="0" borderId="10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left" vertical="center"/>
    </xf>
    <xf numFmtId="0" fontId="10" fillId="4" borderId="10" xfId="0" applyFont="1" applyFill="1" applyBorder="1" applyAlignment="1">
      <alignment horizontal="center" wrapText="1"/>
    </xf>
    <xf numFmtId="0" fontId="10" fillId="4" borderId="10" xfId="0" applyFont="1" applyFill="1" applyBorder="1" applyAlignment="1">
      <alignment horizontal="center"/>
    </xf>
    <xf numFmtId="0" fontId="10" fillId="0" borderId="13" xfId="0" applyFont="1" applyBorder="1" applyAlignment="1">
      <alignment horizontal="center" wrapText="1"/>
    </xf>
    <xf numFmtId="0" fontId="10" fillId="0" borderId="14" xfId="0" applyFont="1" applyBorder="1" applyAlignment="1">
      <alignment horizontal="center" wrapText="1"/>
    </xf>
    <xf numFmtId="0" fontId="10" fillId="0" borderId="10" xfId="0" applyFont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49" fontId="8" fillId="0" borderId="4" xfId="0" applyNumberFormat="1" applyFont="1" applyBorder="1" applyAlignment="1">
      <alignment horizontal="left" vertical="center"/>
    </xf>
    <xf numFmtId="49" fontId="8" fillId="0" borderId="5" xfId="0" applyNumberFormat="1" applyFont="1" applyBorder="1" applyAlignment="1">
      <alignment horizontal="left" vertical="center"/>
    </xf>
    <xf numFmtId="49" fontId="8" fillId="0" borderId="6" xfId="0" applyNumberFormat="1" applyFont="1" applyBorder="1" applyAlignment="1">
      <alignment horizontal="left" vertical="center"/>
    </xf>
    <xf numFmtId="0" fontId="13" fillId="0" borderId="0" xfId="0" applyFont="1" applyBorder="1" applyAlignment="1">
      <alignment horizontal="left" vertical="top"/>
    </xf>
    <xf numFmtId="0" fontId="13" fillId="0" borderId="12" xfId="0" applyFont="1" applyBorder="1" applyAlignment="1">
      <alignment horizontal="left" vertical="top"/>
    </xf>
    <xf numFmtId="0" fontId="13" fillId="0" borderId="12" xfId="0" applyFont="1" applyBorder="1" applyAlignment="1">
      <alignment horizontal="left"/>
    </xf>
    <xf numFmtId="0" fontId="7" fillId="0" borderId="5" xfId="0" applyFont="1" applyBorder="1" applyAlignment="1">
      <alignment horizontal="left" vertical="center" wrapText="1"/>
    </xf>
    <xf numFmtId="0" fontId="7" fillId="0" borderId="6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49" fontId="8" fillId="0" borderId="11" xfId="0" applyNumberFormat="1" applyFont="1" applyBorder="1" applyAlignment="1">
      <alignment horizontal="left" vertical="center"/>
    </xf>
    <xf numFmtId="49" fontId="8" fillId="0" borderId="0" xfId="0" applyNumberFormat="1" applyFont="1" applyBorder="1" applyAlignment="1">
      <alignment horizontal="left" vertical="center"/>
    </xf>
    <xf numFmtId="49" fontId="8" fillId="0" borderId="12" xfId="0" applyNumberFormat="1" applyFont="1" applyBorder="1" applyAlignment="1">
      <alignment horizontal="left" vertical="center"/>
    </xf>
    <xf numFmtId="49" fontId="8" fillId="0" borderId="7" xfId="0" applyNumberFormat="1" applyFont="1" applyBorder="1" applyAlignment="1">
      <alignment horizontal="left" vertical="center"/>
    </xf>
    <xf numFmtId="49" fontId="8" fillId="0" borderId="8" xfId="0" applyNumberFormat="1" applyFont="1" applyBorder="1" applyAlignment="1">
      <alignment horizontal="left" vertical="center"/>
    </xf>
    <xf numFmtId="49" fontId="8" fillId="0" borderId="9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center"/>
    </xf>
    <xf numFmtId="0" fontId="17" fillId="0" borderId="0" xfId="0" applyFont="1"/>
    <xf numFmtId="0" fontId="15" fillId="0" borderId="10" xfId="0" applyFont="1" applyFill="1" applyBorder="1" applyAlignment="1">
      <alignment vertical="center"/>
    </xf>
    <xf numFmtId="0" fontId="14" fillId="0" borderId="2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left" vertical="center"/>
    </xf>
    <xf numFmtId="2" fontId="14" fillId="0" borderId="1" xfId="0" applyNumberFormat="1" applyFont="1" applyFill="1" applyBorder="1" applyAlignment="1">
      <alignment vertical="center" wrapText="1"/>
    </xf>
    <xf numFmtId="2" fontId="14" fillId="0" borderId="2" xfId="0" applyNumberFormat="1" applyFont="1" applyFill="1" applyBorder="1" applyAlignment="1">
      <alignment vertical="center" wrapText="1"/>
    </xf>
    <xf numFmtId="0" fontId="7" fillId="0" borderId="3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2" fontId="16" fillId="0" borderId="1" xfId="0" applyNumberFormat="1" applyFont="1" applyFill="1" applyBorder="1" applyAlignment="1">
      <alignment vertical="center" wrapText="1"/>
    </xf>
    <xf numFmtId="2" fontId="16" fillId="0" borderId="2" xfId="0" applyNumberFormat="1" applyFont="1" applyFill="1" applyBorder="1" applyAlignment="1">
      <alignment vertical="center" wrapText="1"/>
    </xf>
    <xf numFmtId="0" fontId="10" fillId="0" borderId="14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2" fontId="14" fillId="0" borderId="3" xfId="0" applyNumberFormat="1" applyFont="1" applyFill="1" applyBorder="1" applyAlignment="1">
      <alignment vertical="center" wrapText="1"/>
    </xf>
    <xf numFmtId="2" fontId="16" fillId="0" borderId="3" xfId="0" applyNumberFormat="1" applyFont="1" applyFill="1" applyBorder="1" applyAlignment="1">
      <alignment vertical="center" wrapText="1"/>
    </xf>
    <xf numFmtId="0" fontId="7" fillId="0" borderId="10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0" fillId="0" borderId="1" xfId="0" applyNumberFormat="1" applyFont="1" applyFill="1" applyBorder="1" applyAlignment="1">
      <alignment horizontal="left" vertical="center"/>
    </xf>
    <xf numFmtId="0" fontId="10" fillId="0" borderId="2" xfId="0" applyFont="1" applyFill="1" applyBorder="1" applyAlignment="1">
      <alignment horizontal="left" vertical="center"/>
    </xf>
    <xf numFmtId="0" fontId="10" fillId="0" borderId="3" xfId="0" applyFont="1" applyFill="1" applyBorder="1" applyAlignment="1">
      <alignment horizontal="left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0" borderId="2" xfId="0" applyNumberFormat="1" applyFont="1" applyFill="1" applyBorder="1" applyAlignment="1">
      <alignment horizontal="center" vertical="center"/>
    </xf>
    <xf numFmtId="4" fontId="10" fillId="0" borderId="3" xfId="0" applyNumberFormat="1" applyFont="1" applyFill="1" applyBorder="1" applyAlignment="1">
      <alignment horizontal="center" vertical="center"/>
    </xf>
    <xf numFmtId="49" fontId="10" fillId="0" borderId="10" xfId="0" applyNumberFormat="1" applyFont="1" applyFill="1" applyBorder="1" applyAlignment="1">
      <alignment horizontal="left" vertical="center"/>
    </xf>
    <xf numFmtId="0" fontId="7" fillId="4" borderId="10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4" fontId="16" fillId="0" borderId="10" xfId="0" applyNumberFormat="1" applyFont="1" applyFill="1" applyBorder="1" applyAlignment="1">
      <alignment horizontal="center" vertical="center" wrapText="1"/>
    </xf>
    <xf numFmtId="4" fontId="16" fillId="0" borderId="1" xfId="0" applyNumberFormat="1" applyFont="1" applyFill="1" applyBorder="1" applyAlignment="1">
      <alignment horizontal="center" vertical="center" wrapText="1"/>
    </xf>
    <xf numFmtId="4" fontId="16" fillId="0" borderId="3" xfId="0" applyNumberFormat="1" applyFont="1" applyFill="1" applyBorder="1" applyAlignment="1">
      <alignment horizontal="center" vertical="center" wrapText="1"/>
    </xf>
    <xf numFmtId="164" fontId="0" fillId="0" borderId="10" xfId="1" applyNumberFormat="1" applyFont="1" applyFill="1" applyBorder="1" applyAlignment="1">
      <alignment horizontal="center" vertical="center"/>
    </xf>
  </cellXfs>
  <cellStyles count="2">
    <cellStyle name="Köprü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20</xdr:row>
          <xdr:rowOff>57150</xdr:rowOff>
        </xdr:from>
        <xdr:to>
          <xdr:col>5</xdr:col>
          <xdr:colOff>276225</xdr:colOff>
          <xdr:row>20</xdr:row>
          <xdr:rowOff>314325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W36"/>
  <sheetViews>
    <sheetView tabSelected="1" zoomScaleNormal="100" zoomScaleSheetLayoutView="100" workbookViewId="0"/>
  </sheetViews>
  <sheetFormatPr defaultRowHeight="15" x14ac:dyDescent="0.25"/>
  <cols>
    <col min="1" max="1" width="3.28515625" customWidth="1"/>
    <col min="2" max="2" width="7.85546875" customWidth="1"/>
    <col min="3" max="3" width="13.42578125" customWidth="1"/>
    <col min="4" max="4" width="16.7109375" customWidth="1"/>
    <col min="5" max="5" width="12.42578125" customWidth="1"/>
    <col min="6" max="6" width="23.5703125" customWidth="1"/>
    <col min="7" max="7" width="3.140625" customWidth="1"/>
    <col min="8" max="8" width="5.140625" customWidth="1"/>
    <col min="9" max="9" width="2.42578125" customWidth="1"/>
    <col min="10" max="10" width="7.140625" customWidth="1"/>
    <col min="11" max="11" width="14.42578125" customWidth="1"/>
    <col min="12" max="12" width="5.85546875" customWidth="1"/>
    <col min="13" max="13" width="5.42578125" customWidth="1"/>
    <col min="14" max="14" width="11.42578125" customWidth="1"/>
    <col min="15" max="15" width="9.5703125" customWidth="1"/>
    <col min="16" max="16" width="1.5703125" customWidth="1"/>
    <col min="17" max="17" width="13.42578125" customWidth="1"/>
    <col min="18" max="18" width="19.7109375" customWidth="1"/>
    <col min="19" max="19" width="19.5703125" customWidth="1"/>
    <col min="20" max="20" width="21" customWidth="1"/>
    <col min="21" max="21" width="18.85546875" customWidth="1"/>
    <col min="22" max="22" width="18.28515625" customWidth="1"/>
    <col min="23" max="23" width="18.42578125" customWidth="1"/>
  </cols>
  <sheetData>
    <row r="1" spans="1:23" ht="21.75" customHeight="1" x14ac:dyDescent="0.4">
      <c r="B1" s="16" t="s">
        <v>0</v>
      </c>
      <c r="C1" s="16"/>
      <c r="D1" s="17"/>
      <c r="E1" s="17"/>
      <c r="F1" s="25" t="s">
        <v>45</v>
      </c>
      <c r="G1" s="26"/>
      <c r="H1" s="26"/>
      <c r="I1" s="26"/>
      <c r="J1" s="26"/>
      <c r="K1" s="26"/>
      <c r="L1" s="26"/>
      <c r="M1" s="26"/>
      <c r="N1" s="26"/>
      <c r="O1" s="26"/>
      <c r="P1" s="26"/>
      <c r="Q1" s="27"/>
    </row>
    <row r="2" spans="1:23" x14ac:dyDescent="0.25"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</row>
    <row r="3" spans="1:23" ht="15" customHeight="1" x14ac:dyDescent="0.25">
      <c r="B3" s="19" t="s">
        <v>1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1"/>
    </row>
    <row r="4" spans="1:23" ht="29.25" customHeight="1" x14ac:dyDescent="0.25">
      <c r="B4" s="22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4"/>
    </row>
    <row r="5" spans="1:23" ht="9.75" customHeight="1" x14ac:dyDescent="0.25"/>
    <row r="6" spans="1:23" ht="21" x14ac:dyDescent="0.4">
      <c r="A6" s="6"/>
      <c r="B6" s="29" t="s">
        <v>40</v>
      </c>
      <c r="C6" s="30"/>
      <c r="D6" s="30"/>
      <c r="E6" s="31"/>
      <c r="F6" s="80"/>
      <c r="G6" s="80"/>
      <c r="H6" s="80"/>
      <c r="I6" s="80"/>
      <c r="J6" s="80"/>
      <c r="K6" s="80"/>
      <c r="L6" s="80"/>
    </row>
    <row r="7" spans="1:23" x14ac:dyDescent="0.25">
      <c r="B7" s="34" t="str">
        <f>"Debt # in ARDSI Debtor ledger: " &amp; defterSirasi</f>
        <v xml:space="preserve">Debt # in ARDSI Debtor ledger: </v>
      </c>
      <c r="C7" s="34"/>
      <c r="D7" s="34"/>
      <c r="E7" s="34"/>
      <c r="F7" s="79" t="str">
        <f>"Cut-off date of the report:  " &amp; TEXT( HazirlamaTarihi, "gg.aa.yyyy")</f>
        <v>Cut-off date of the report:  00.01.1900</v>
      </c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4"/>
      <c r="S7" s="4"/>
      <c r="T7" s="4"/>
      <c r="U7" s="4"/>
      <c r="V7" s="4"/>
      <c r="W7" s="4"/>
    </row>
    <row r="8" spans="1:23" x14ac:dyDescent="0.25">
      <c r="B8" s="18" t="s">
        <v>2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3"/>
      <c r="S8" s="3"/>
      <c r="T8" s="3"/>
      <c r="U8" s="3"/>
      <c r="V8" s="3"/>
      <c r="W8" s="3"/>
    </row>
    <row r="9" spans="1:23" x14ac:dyDescent="0.25">
      <c r="B9" s="8" t="s">
        <v>3</v>
      </c>
      <c r="C9" s="33" t="s">
        <v>4</v>
      </c>
      <c r="D9" s="33"/>
      <c r="E9" s="33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3"/>
      <c r="S9" s="3"/>
      <c r="T9" s="3"/>
      <c r="U9" s="3"/>
      <c r="V9" s="3"/>
      <c r="W9" s="3"/>
    </row>
    <row r="10" spans="1:23" x14ac:dyDescent="0.25">
      <c r="B10" s="11" t="s">
        <v>5</v>
      </c>
      <c r="C10" s="12" t="s">
        <v>6</v>
      </c>
      <c r="D10" s="12"/>
      <c r="E10" s="13"/>
      <c r="F10" s="2" t="s">
        <v>7</v>
      </c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3"/>
    </row>
    <row r="11" spans="1:23" ht="16.5" customHeight="1" x14ac:dyDescent="0.25">
      <c r="B11" s="11"/>
      <c r="C11" s="14"/>
      <c r="D11" s="14"/>
      <c r="E11" s="15"/>
      <c r="F11" s="10" t="s">
        <v>48</v>
      </c>
      <c r="G11" s="84"/>
      <c r="H11" s="85"/>
      <c r="I11" s="85"/>
      <c r="J11" s="94"/>
      <c r="K11" s="86" t="s">
        <v>8</v>
      </c>
      <c r="L11" s="59"/>
      <c r="M11" s="87"/>
      <c r="N11" s="84" t="str">
        <f>kimlikNo&amp;""</f>
        <v/>
      </c>
      <c r="O11" s="85"/>
      <c r="P11" s="85"/>
      <c r="Q11" s="94"/>
    </row>
    <row r="12" spans="1:23" ht="17.25" customHeight="1" x14ac:dyDescent="0.25">
      <c r="B12" s="11" t="s">
        <v>9</v>
      </c>
      <c r="C12" s="67" t="s">
        <v>32</v>
      </c>
      <c r="D12" s="67"/>
      <c r="E12" s="68"/>
      <c r="F12" s="96" t="s">
        <v>10</v>
      </c>
      <c r="G12" s="88"/>
      <c r="H12" s="89"/>
      <c r="I12" s="95"/>
      <c r="J12" s="97" t="s">
        <v>11</v>
      </c>
      <c r="K12" s="98"/>
      <c r="L12" s="88"/>
      <c r="M12" s="95"/>
      <c r="N12" s="99" t="s">
        <v>12</v>
      </c>
      <c r="O12" s="100"/>
      <c r="P12" s="88"/>
      <c r="Q12" s="95"/>
    </row>
    <row r="13" spans="1:23" ht="17.25" customHeight="1" x14ac:dyDescent="0.25">
      <c r="B13" s="11"/>
      <c r="C13" s="69"/>
      <c r="D13" s="69"/>
      <c r="E13" s="70"/>
      <c r="F13" s="90"/>
      <c r="G13" s="90"/>
      <c r="H13" s="90"/>
      <c r="I13" s="90"/>
      <c r="J13" s="90"/>
      <c r="K13" s="90"/>
      <c r="L13" s="90"/>
      <c r="M13" s="91"/>
      <c r="N13" s="99" t="s">
        <v>13</v>
      </c>
      <c r="O13" s="100"/>
      <c r="P13" s="88"/>
      <c r="Q13" s="95"/>
    </row>
    <row r="14" spans="1:23" ht="17.25" customHeight="1" x14ac:dyDescent="0.25">
      <c r="B14" s="11"/>
      <c r="C14" s="71"/>
      <c r="D14" s="71"/>
      <c r="E14" s="72"/>
      <c r="F14" s="92"/>
      <c r="G14" s="92"/>
      <c r="H14" s="92"/>
      <c r="I14" s="92"/>
      <c r="J14" s="92"/>
      <c r="K14" s="92"/>
      <c r="L14" s="92"/>
      <c r="M14" s="93"/>
      <c r="N14" s="99" t="s">
        <v>14</v>
      </c>
      <c r="O14" s="100"/>
      <c r="P14" s="88"/>
      <c r="Q14" s="95"/>
    </row>
    <row r="15" spans="1:23" x14ac:dyDescent="0.25">
      <c r="B15" s="1" t="s">
        <v>15</v>
      </c>
      <c r="C15" s="33" t="s">
        <v>16</v>
      </c>
      <c r="D15" s="33"/>
      <c r="E15" s="33"/>
      <c r="F15" s="101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3"/>
    </row>
    <row r="16" spans="1:23" ht="15" customHeight="1" x14ac:dyDescent="0.25">
      <c r="B16" s="108" t="s">
        <v>20</v>
      </c>
      <c r="C16" s="109" t="s">
        <v>17</v>
      </c>
      <c r="D16" s="109"/>
      <c r="E16" s="11" t="s">
        <v>18</v>
      </c>
      <c r="F16" s="11"/>
      <c r="G16" s="11"/>
      <c r="H16" s="11"/>
      <c r="I16" s="11"/>
      <c r="J16" s="11"/>
      <c r="K16" s="11" t="s">
        <v>19</v>
      </c>
      <c r="L16" s="11"/>
      <c r="M16" s="11"/>
      <c r="N16" s="11"/>
      <c r="O16" s="11"/>
      <c r="P16" s="11"/>
      <c r="Q16" s="58" t="s">
        <v>55</v>
      </c>
    </row>
    <row r="17" spans="2:17" ht="17.25" customHeight="1" x14ac:dyDescent="0.25">
      <c r="B17" s="108"/>
      <c r="C17" s="109"/>
      <c r="D17" s="109"/>
      <c r="E17" s="37" t="s">
        <v>21</v>
      </c>
      <c r="F17" s="37"/>
      <c r="G17" s="37"/>
      <c r="H17" s="37"/>
      <c r="I17" s="37"/>
      <c r="J17" s="37"/>
      <c r="K17" s="37" t="s">
        <v>21</v>
      </c>
      <c r="L17" s="37"/>
      <c r="M17" s="37"/>
      <c r="N17" s="37"/>
      <c r="O17" s="37"/>
      <c r="P17" s="37"/>
      <c r="Q17" s="58"/>
    </row>
    <row r="18" spans="2:17" ht="21" customHeight="1" x14ac:dyDescent="0.25">
      <c r="B18" s="108"/>
      <c r="C18" s="109"/>
      <c r="D18" s="109"/>
      <c r="E18" s="104"/>
      <c r="F18" s="105"/>
      <c r="G18" s="105"/>
      <c r="H18" s="105"/>
      <c r="I18" s="105"/>
      <c r="J18" s="106"/>
      <c r="K18" s="107"/>
      <c r="L18" s="107"/>
      <c r="M18" s="107"/>
      <c r="N18" s="107"/>
      <c r="O18" s="107"/>
      <c r="P18" s="107"/>
      <c r="Q18" s="113"/>
    </row>
    <row r="19" spans="2:17" x14ac:dyDescent="0.25">
      <c r="B19" s="108"/>
      <c r="C19" s="109"/>
      <c r="D19" s="109"/>
      <c r="E19" s="41" t="s">
        <v>22</v>
      </c>
      <c r="F19" s="41"/>
      <c r="G19" s="42"/>
      <c r="H19" s="43"/>
      <c r="I19" s="44"/>
      <c r="J19" s="44"/>
      <c r="K19" s="41" t="s">
        <v>52</v>
      </c>
      <c r="L19" s="41"/>
      <c r="M19" s="41"/>
      <c r="N19" s="42"/>
      <c r="O19" s="45"/>
      <c r="P19" s="46"/>
      <c r="Q19" s="46"/>
    </row>
    <row r="20" spans="2:17" x14ac:dyDescent="0.25">
      <c r="B20" s="18" t="s">
        <v>23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</row>
    <row r="21" spans="2:17" ht="29.25" customHeight="1" x14ac:dyDescent="0.25">
      <c r="B21" s="35" t="s">
        <v>24</v>
      </c>
      <c r="C21" s="52" t="s">
        <v>25</v>
      </c>
      <c r="D21" s="52"/>
      <c r="E21" s="52"/>
      <c r="F21" s="38" t="s">
        <v>53</v>
      </c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</row>
    <row r="22" spans="2:17" ht="31.5" customHeight="1" x14ac:dyDescent="0.25">
      <c r="B22" s="36"/>
      <c r="C22" s="53" t="s">
        <v>26</v>
      </c>
      <c r="D22" s="53"/>
      <c r="E22" s="53"/>
      <c r="F22" s="38" t="s">
        <v>49</v>
      </c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</row>
    <row r="23" spans="2:17" ht="16.5" customHeight="1" x14ac:dyDescent="0.25">
      <c r="B23" s="1" t="s">
        <v>27</v>
      </c>
      <c r="C23" s="33" t="s">
        <v>28</v>
      </c>
      <c r="D23" s="33"/>
      <c r="E23" s="33"/>
      <c r="F23" s="101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3"/>
    </row>
    <row r="24" spans="2:17" x14ac:dyDescent="0.25">
      <c r="B24" s="47"/>
      <c r="C24" s="47"/>
      <c r="D24" s="47"/>
      <c r="E24" s="11" t="s">
        <v>18</v>
      </c>
      <c r="F24" s="11"/>
      <c r="G24" s="11"/>
      <c r="H24" s="11"/>
      <c r="I24" s="11"/>
      <c r="J24" s="11"/>
      <c r="K24" s="11" t="s">
        <v>19</v>
      </c>
      <c r="L24" s="11"/>
      <c r="M24" s="11"/>
      <c r="N24" s="11"/>
      <c r="O24" s="11"/>
      <c r="P24" s="11"/>
      <c r="Q24" s="56" t="s">
        <v>54</v>
      </c>
    </row>
    <row r="25" spans="2:17" ht="39" x14ac:dyDescent="0.25">
      <c r="B25" s="47"/>
      <c r="C25" s="47"/>
      <c r="D25" s="47"/>
      <c r="E25" s="7" t="s">
        <v>33</v>
      </c>
      <c r="F25" s="54" t="s">
        <v>34</v>
      </c>
      <c r="G25" s="55"/>
      <c r="H25" s="54" t="s">
        <v>35</v>
      </c>
      <c r="I25" s="55"/>
      <c r="J25" s="55"/>
      <c r="K25" s="54" t="s">
        <v>36</v>
      </c>
      <c r="L25" s="54"/>
      <c r="M25" s="54" t="s">
        <v>37</v>
      </c>
      <c r="N25" s="54"/>
      <c r="O25" s="54" t="s">
        <v>38</v>
      </c>
      <c r="P25" s="55"/>
      <c r="Q25" s="57"/>
    </row>
    <row r="26" spans="2:17" ht="30.75" customHeight="1" x14ac:dyDescent="0.25">
      <c r="B26" s="9" t="s">
        <v>29</v>
      </c>
      <c r="C26" s="59" t="s">
        <v>30</v>
      </c>
      <c r="D26" s="59"/>
      <c r="E26" s="110"/>
      <c r="F26" s="111"/>
      <c r="G26" s="112"/>
      <c r="H26" s="51">
        <f>E26+F26</f>
        <v>0</v>
      </c>
      <c r="I26" s="51"/>
      <c r="J26" s="51"/>
      <c r="K26" s="111"/>
      <c r="L26" s="112"/>
      <c r="M26" s="111"/>
      <c r="N26" s="112"/>
      <c r="O26" s="51">
        <f>K26+M26</f>
        <v>0</v>
      </c>
      <c r="P26" s="51"/>
      <c r="Q26" s="113">
        <v>2.8969999999999998</v>
      </c>
    </row>
    <row r="27" spans="2:17" x14ac:dyDescent="0.25"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</row>
    <row r="28" spans="2:17" ht="39" customHeight="1" x14ac:dyDescent="0.25">
      <c r="B28" s="49" t="s">
        <v>44</v>
      </c>
      <c r="C28" s="48"/>
      <c r="D28" s="48" t="s">
        <v>43</v>
      </c>
      <c r="E28" s="48"/>
      <c r="F28" s="48" t="s">
        <v>46</v>
      </c>
      <c r="G28" s="48"/>
      <c r="H28" s="48" t="s">
        <v>50</v>
      </c>
      <c r="I28" s="48"/>
      <c r="J28" s="48"/>
      <c r="K28" s="48"/>
      <c r="L28" s="48" t="s">
        <v>47</v>
      </c>
      <c r="M28" s="48"/>
      <c r="N28" s="48"/>
      <c r="O28" s="64" t="s">
        <v>51</v>
      </c>
      <c r="P28" s="64"/>
      <c r="Q28" s="65"/>
    </row>
    <row r="29" spans="2:17" x14ac:dyDescent="0.25">
      <c r="B29" s="50" t="str">
        <f>"Name: " &amp; hazirlayan</f>
        <v xml:space="preserve">Name: </v>
      </c>
      <c r="C29" s="40"/>
      <c r="D29" s="40" t="str">
        <f>"Name: " &amp; kontrolEden</f>
        <v xml:space="preserve">Name: </v>
      </c>
      <c r="E29" s="40"/>
      <c r="F29" s="40" t="str">
        <f>"Name: " &amp; gozdenGeciren</f>
        <v xml:space="preserve">Name: </v>
      </c>
      <c r="G29" s="40"/>
      <c r="H29" s="40" t="str">
        <f>"Name: " &amp; onaylayan</f>
        <v xml:space="preserve">Name: </v>
      </c>
      <c r="I29" s="40"/>
      <c r="J29" s="40"/>
      <c r="K29" s="40"/>
      <c r="L29" s="40" t="str">
        <f>"Name: " &amp; uygunBulan</f>
        <v xml:space="preserve">Name: </v>
      </c>
      <c r="M29" s="40"/>
      <c r="N29" s="40"/>
      <c r="O29" s="40" t="s">
        <v>7</v>
      </c>
      <c r="P29" s="40"/>
      <c r="Q29" s="66"/>
    </row>
    <row r="30" spans="2:17" x14ac:dyDescent="0.25">
      <c r="B30" s="50" t="str">
        <f>"Date: " &amp; TEXT(HazirlamaTarihi, "aa.gg.yyyy")</f>
        <v>Date: 01.00.1900</v>
      </c>
      <c r="C30" s="40"/>
      <c r="D30" s="40" t="str">
        <f>B30</f>
        <v>Date: 01.00.1900</v>
      </c>
      <c r="E30" s="40"/>
      <c r="F30" s="40" t="str">
        <f>B30</f>
        <v>Date: 01.00.1900</v>
      </c>
      <c r="G30" s="40"/>
      <c r="H30" s="40" t="str">
        <f>B30</f>
        <v>Date: 01.00.1900</v>
      </c>
      <c r="I30" s="40"/>
      <c r="J30" s="40"/>
      <c r="K30" s="40"/>
      <c r="L30" s="40" t="str">
        <f>B30</f>
        <v>Date: 01.00.1900</v>
      </c>
      <c r="M30" s="40"/>
      <c r="N30" s="40"/>
      <c r="O30" s="40" t="str">
        <f>B30</f>
        <v>Date: 01.00.1900</v>
      </c>
      <c r="P30" s="40"/>
      <c r="Q30" s="66"/>
    </row>
    <row r="31" spans="2:17" x14ac:dyDescent="0.25">
      <c r="B31" s="50" t="s">
        <v>31</v>
      </c>
      <c r="C31" s="40"/>
      <c r="D31" s="40" t="s">
        <v>31</v>
      </c>
      <c r="E31" s="40"/>
      <c r="F31" s="40" t="s">
        <v>31</v>
      </c>
      <c r="G31" s="40"/>
      <c r="H31" s="40" t="s">
        <v>31</v>
      </c>
      <c r="I31" s="40"/>
      <c r="J31" s="40"/>
      <c r="K31" s="40"/>
      <c r="L31" s="40" t="s">
        <v>31</v>
      </c>
      <c r="M31" s="40"/>
      <c r="N31" s="40"/>
      <c r="O31" s="40" t="s">
        <v>31</v>
      </c>
      <c r="P31" s="40"/>
      <c r="Q31" s="66"/>
    </row>
    <row r="32" spans="2:17" x14ac:dyDescent="0.25"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</row>
    <row r="33" spans="2:17" x14ac:dyDescent="0.25">
      <c r="B33" s="61" t="s">
        <v>39</v>
      </c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3"/>
    </row>
    <row r="34" spans="2:17" x14ac:dyDescent="0.25">
      <c r="B34" s="73" t="s">
        <v>41</v>
      </c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5"/>
    </row>
    <row r="35" spans="2:17" x14ac:dyDescent="0.25">
      <c r="B35" s="76" t="s">
        <v>42</v>
      </c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8"/>
    </row>
    <row r="36" spans="2:17" x14ac:dyDescent="0.25">
      <c r="K36" s="5"/>
      <c r="L36" s="5"/>
      <c r="M36" s="5"/>
      <c r="N36" s="5"/>
      <c r="O36" s="5"/>
      <c r="P36" s="5"/>
      <c r="Q36" s="5"/>
    </row>
  </sheetData>
  <mergeCells count="95">
    <mergeCell ref="B12:B14"/>
    <mergeCell ref="C12:E14"/>
    <mergeCell ref="B34:Q34"/>
    <mergeCell ref="B35:Q35"/>
    <mergeCell ref="E18:J18"/>
    <mergeCell ref="L30:N30"/>
    <mergeCell ref="L31:N31"/>
    <mergeCell ref="H30:K30"/>
    <mergeCell ref="H31:K31"/>
    <mergeCell ref="K24:P24"/>
    <mergeCell ref="K25:L25"/>
    <mergeCell ref="K26:L26"/>
    <mergeCell ref="B27:Q27"/>
    <mergeCell ref="L28:N28"/>
    <mergeCell ref="L29:N29"/>
    <mergeCell ref="P12:Q12"/>
    <mergeCell ref="N13:O13"/>
    <mergeCell ref="P13:Q13"/>
    <mergeCell ref="L12:M12"/>
    <mergeCell ref="N11:Q11"/>
    <mergeCell ref="K11:M11"/>
    <mergeCell ref="F13:M14"/>
    <mergeCell ref="N14:O14"/>
    <mergeCell ref="G12:I12"/>
    <mergeCell ref="J12:K12"/>
    <mergeCell ref="N12:O12"/>
    <mergeCell ref="P14:Q14"/>
    <mergeCell ref="B30:C30"/>
    <mergeCell ref="B31:C31"/>
    <mergeCell ref="C26:D26"/>
    <mergeCell ref="B32:Q32"/>
    <mergeCell ref="B33:Q33"/>
    <mergeCell ref="D29:E29"/>
    <mergeCell ref="D30:E30"/>
    <mergeCell ref="D31:E31"/>
    <mergeCell ref="F31:G31"/>
    <mergeCell ref="O28:Q28"/>
    <mergeCell ref="O29:Q29"/>
    <mergeCell ref="O30:Q30"/>
    <mergeCell ref="O31:Q31"/>
    <mergeCell ref="F28:G28"/>
    <mergeCell ref="F29:G29"/>
    <mergeCell ref="H28:K28"/>
    <mergeCell ref="H29:K29"/>
    <mergeCell ref="F23:Q23"/>
    <mergeCell ref="C21:E21"/>
    <mergeCell ref="C22:E22"/>
    <mergeCell ref="C15:E15"/>
    <mergeCell ref="E24:J24"/>
    <mergeCell ref="F25:G25"/>
    <mergeCell ref="H25:J25"/>
    <mergeCell ref="M25:N25"/>
    <mergeCell ref="O25:P25"/>
    <mergeCell ref="Q24:Q25"/>
    <mergeCell ref="Q16:Q17"/>
    <mergeCell ref="F30:G30"/>
    <mergeCell ref="C23:E23"/>
    <mergeCell ref="K18:P18"/>
    <mergeCell ref="E19:G19"/>
    <mergeCell ref="H19:J19"/>
    <mergeCell ref="K19:N19"/>
    <mergeCell ref="O19:Q19"/>
    <mergeCell ref="C16:D19"/>
    <mergeCell ref="B24:D25"/>
    <mergeCell ref="D28:E28"/>
    <mergeCell ref="B28:C28"/>
    <mergeCell ref="B29:C29"/>
    <mergeCell ref="F26:G26"/>
    <mergeCell ref="H26:J26"/>
    <mergeCell ref="M26:N26"/>
    <mergeCell ref="O26:P26"/>
    <mergeCell ref="B21:B22"/>
    <mergeCell ref="F15:Q15"/>
    <mergeCell ref="E16:J16"/>
    <mergeCell ref="K16:P16"/>
    <mergeCell ref="E17:J17"/>
    <mergeCell ref="K17:P17"/>
    <mergeCell ref="B16:B19"/>
    <mergeCell ref="B20:Q20"/>
    <mergeCell ref="F21:Q21"/>
    <mergeCell ref="F22:Q22"/>
    <mergeCell ref="G10:Q10"/>
    <mergeCell ref="B10:B11"/>
    <mergeCell ref="C10:E11"/>
    <mergeCell ref="B1:E1"/>
    <mergeCell ref="B8:Q8"/>
    <mergeCell ref="F9:Q9"/>
    <mergeCell ref="B3:Q4"/>
    <mergeCell ref="F1:Q1"/>
    <mergeCell ref="B2:Q2"/>
    <mergeCell ref="B6:E6"/>
    <mergeCell ref="C9:E9"/>
    <mergeCell ref="B7:E7"/>
    <mergeCell ref="G11:J11"/>
    <mergeCell ref="F7:Q7"/>
  </mergeCells>
  <hyperlinks>
    <hyperlink ref="Q26" location="_ftn2" display="_ftn2"/>
    <hyperlink ref="B33" location="_ftnref1" display="_ftnref1"/>
    <hyperlink ref="B34" location="_ftnref2" display="_ftnref2"/>
  </hyperlinks>
  <printOptions verticalCentered="1"/>
  <pageMargins left="0.39370078740157483" right="0" top="0.39370078740157483" bottom="0" header="0" footer="0"/>
  <pageSetup paperSize="9" scale="87" orientation="landscape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5</xdr:col>
                    <xdr:colOff>57150</xdr:colOff>
                    <xdr:row>20</xdr:row>
                    <xdr:rowOff>57150</xdr:rowOff>
                  </from>
                  <to>
                    <xdr:col>5</xdr:col>
                    <xdr:colOff>276225</xdr:colOff>
                    <xdr:row>20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21</vt:i4>
      </vt:variant>
    </vt:vector>
  </HeadingPairs>
  <TitlesOfParts>
    <vt:vector size="24" baseType="lpstr">
      <vt:lpstr>Sayfa1</vt:lpstr>
      <vt:lpstr>Sayfa2</vt:lpstr>
      <vt:lpstr>Sayfa3</vt:lpstr>
      <vt:lpstr>Sayfa1!_ftn1</vt:lpstr>
      <vt:lpstr>Sayfa1!_ftn2</vt:lpstr>
      <vt:lpstr>Sayfa1!_ftnref1</vt:lpstr>
      <vt:lpstr>Sayfa1!_ftnref2</vt:lpstr>
      <vt:lpstr>borcluAd</vt:lpstr>
      <vt:lpstr>defterSirasi</vt:lpstr>
      <vt:lpstr>geriAlimDovizKuru</vt:lpstr>
      <vt:lpstr>geriAlimMiktarAB</vt:lpstr>
      <vt:lpstr>geriAlimMiktarABEUR</vt:lpstr>
      <vt:lpstr>geriAlimMiktarUlusal</vt:lpstr>
      <vt:lpstr>geriAlimMiktarUlusalEUR</vt:lpstr>
      <vt:lpstr>geriAlimTarihi</vt:lpstr>
      <vt:lpstr>gozdenGeciren</vt:lpstr>
      <vt:lpstr>HazirlamaTarihi</vt:lpstr>
      <vt:lpstr>hazirlayan</vt:lpstr>
      <vt:lpstr>kimlikNo</vt:lpstr>
      <vt:lpstr>kontrolEden</vt:lpstr>
      <vt:lpstr>onaylayan</vt:lpstr>
      <vt:lpstr>onBorcDovizKuru</vt:lpstr>
      <vt:lpstr>onBorcTarihi</vt:lpstr>
      <vt:lpstr>uygunBulan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Fethullah ÖZÇOBAN</dc:creator>
  <cp:lastModifiedBy>Can</cp:lastModifiedBy>
  <cp:lastPrinted>2017-12-18T19:17:40Z</cp:lastPrinted>
  <dcterms:created xsi:type="dcterms:W3CDTF">2013-03-08T13:49:32Z</dcterms:created>
  <dcterms:modified xsi:type="dcterms:W3CDTF">2017-12-18T19:18:31Z</dcterms:modified>
</cp:coreProperties>
</file>