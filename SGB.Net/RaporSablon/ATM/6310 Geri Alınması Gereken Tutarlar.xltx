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ATM\"/>
    </mc:Choice>
  </mc:AlternateContent>
  <bookViews>
    <workbookView xWindow="0" yWindow="0" windowWidth="24000" windowHeight="9180"/>
  </bookViews>
  <sheets>
    <sheet name="Sayfa1" sheetId="1" r:id="rId1"/>
  </sheets>
  <definedNames>
    <definedName name="aySayisi">Sayfa1!$D$15</definedName>
    <definedName name="basvuruKayitNumarasi">Sayfa1!$E$6</definedName>
    <definedName name="bildirimTarihi">Sayfa1!$C$10</definedName>
    <definedName name="borcluAd">Sayfa1!$A$6</definedName>
    <definedName name="borcunKodu">Sayfa1!$A$10</definedName>
    <definedName name="faizOranAyToplam">Sayfa1!$C$15</definedName>
    <definedName name="faizOranGunToplam">Sayfa1!$C$20</definedName>
    <definedName name="gunSayisi">Sayfa1!$D$20</definedName>
    <definedName name="hazirlayan">Sayfa1!$B$33</definedName>
    <definedName name="islemTarihi">Sayfa1!$F$10</definedName>
    <definedName name="kalanFaizMiktarABSil">Sayfa1!$E$25</definedName>
    <definedName name="kalanFaizMiktarUlusalSil">Sayfa1!$F$25</definedName>
    <definedName name="kalanMiktarABSil">Sayfa1!$A$15</definedName>
    <definedName name="kalanMiktarUlusalSil">Sayfa1!$B$15</definedName>
    <definedName name="kimlikNo">Sayfa1!$D$6</definedName>
    <definedName name="kontrolEden">Sayfa1!$B$34</definedName>
    <definedName name="kurumAd">Sayfa1!$A$1</definedName>
    <definedName name="onaylayan">Sayfa1!$B$35</definedName>
    <definedName name="sozlesmeNumarasi">Sayfa1!$F$6</definedName>
    <definedName name="temerrutTarihi">Sayfa1!$E$10</definedName>
    <definedName name="tesellumTarihi">Sayfa1!$D$10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1" i="1" l="1"/>
  <c r="E15" i="1" l="1"/>
  <c r="F15" i="1"/>
  <c r="F20" i="1"/>
  <c r="E20" i="1"/>
  <c r="A20" i="1" l="1"/>
  <c r="B20" i="1"/>
  <c r="B25" i="1"/>
  <c r="C25" i="1"/>
  <c r="E30" i="1" l="1"/>
  <c r="A30" i="1" s="1"/>
  <c r="E29" i="1"/>
  <c r="A29" i="1" s="1"/>
  <c r="A25" i="1" l="1"/>
  <c r="B30" i="1"/>
  <c r="B29" i="1"/>
  <c r="D25" i="1"/>
  <c r="A23" i="1"/>
  <c r="D23" i="1" l="1"/>
</calcChain>
</file>

<file path=xl/sharedStrings.xml><?xml version="1.0" encoding="utf-8"?>
<sst xmlns="http://schemas.openxmlformats.org/spreadsheetml/2006/main" count="47" uniqueCount="44">
  <si>
    <t>BORÇLU KİMLİK BİLGİLERİ</t>
  </si>
  <si>
    <t>Borçlunun Adı</t>
  </si>
  <si>
    <t xml:space="preserve">Kimlik/Vergi No </t>
  </si>
  <si>
    <t>Başvuru Kayıt Numarası</t>
  </si>
  <si>
    <t>Sözleşme Numarası</t>
  </si>
  <si>
    <t>DURUM BİLGİSİ</t>
  </si>
  <si>
    <t>Borcun Kodu</t>
  </si>
  <si>
    <t>Temerrüt Tarihi</t>
  </si>
  <si>
    <t>Faiz Hesaplama Tarihi</t>
  </si>
  <si>
    <t>AYLIK FAİZ HESAPLAMA TABLOSU</t>
  </si>
  <si>
    <t>ARTIK GÜNLER İÇİN FAİZ HESAPLAMA TABLOSU</t>
  </si>
  <si>
    <t>İsim</t>
  </si>
  <si>
    <t>Tarih</t>
  </si>
  <si>
    <t>İmza</t>
  </si>
  <si>
    <t>Hazırlayan</t>
  </si>
  <si>
    <t>Kontrol Eden</t>
  </si>
  <si>
    <t>Onaylayan</t>
  </si>
  <si>
    <t>Borç Mektubu Gönderim Tarihi</t>
  </si>
  <si>
    <t>Anapara (Kalan Tutarlar)</t>
  </si>
  <si>
    <t>Topluluk Katkısı
(P1)</t>
  </si>
  <si>
    <t>Ulusal Katkı
(P2)</t>
  </si>
  <si>
    <t>Faiz Tutarı</t>
  </si>
  <si>
    <t>Ulusal Katkı 
(P2)</t>
  </si>
  <si>
    <t>Topluluk Katkısı
P1 * R * t</t>
  </si>
  <si>
    <t>Ulusal Katkı
P2 * R * t</t>
  </si>
  <si>
    <t>Mektubunun Ele Geçtiği Tarih</t>
  </si>
  <si>
    <t>t = Ay sayısı</t>
  </si>
  <si>
    <t>R = Faiz Oranı
(6183 S.K.)</t>
  </si>
  <si>
    <t>Topluluk Katkısı
P1 * RG * t</t>
  </si>
  <si>
    <t>t = Gün sayısı</t>
  </si>
  <si>
    <t>RG = Günlük Faiz Oranı (R/30)
(6183 S.K.)</t>
  </si>
  <si>
    <t>Ulusal Katkı
P2 * RG * t</t>
  </si>
  <si>
    <t>6310 IPARD HESAPLARINA GERİ ALINMASI GEREKEN TUTARLAR</t>
  </si>
  <si>
    <t>TKDK İÇİNDE İLGİLİ BİRİMLERE BİLDİRİLECEK TUTARLAR</t>
  </si>
  <si>
    <t>Kalan Anapara Toplamı</t>
  </si>
  <si>
    <t>Kalan AB Katkısı</t>
  </si>
  <si>
    <t>Kalan Ulusal Katkı</t>
  </si>
  <si>
    <t>Kalan Faiz Toplamı</t>
  </si>
  <si>
    <t>Kalan Faiz Tutarı-AB Katkısı</t>
  </si>
  <si>
    <t>Kalan Faiz Tutarı-Ulusal Katkı</t>
  </si>
  <si>
    <t>BORÇLUYA BİLDİRİLMESİ GEREKEN TUTAR</t>
  </si>
  <si>
    <t>Geri ödeme için kullanılacak banka hesabı</t>
  </si>
  <si>
    <t>Banka Hesap Numarası(ları)</t>
  </si>
  <si>
    <t>Ödenmesi Gereken Tutar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</si>
</sst>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00"/>
    <numFmt numFmtId="166" formatCode="#,##0.00;#,##0.00;#"/>
  </numFmts>
  <fonts count="4" x14ac:knownFonts="1">
    <font>
      <sz val="11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sz val="12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0" fillId="0" borderId="0" xfId="0" applyAlignment="1">
      <alignment vertical="center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4" fontId="2" fillId="0" borderId="14" xfId="0" applyNumberFormat="1" applyFont="1" applyBorder="1" applyAlignment="1">
      <alignment horizontal="center" vertical="center" wrapText="1"/>
    </xf>
    <xf numFmtId="4" fontId="2" fillId="0" borderId="15" xfId="0" applyNumberFormat="1" applyFont="1" applyBorder="1" applyAlignment="1">
      <alignment horizontal="center" vertical="center" wrapText="1"/>
    </xf>
    <xf numFmtId="165" fontId="2" fillId="0" borderId="15" xfId="0" applyNumberFormat="1" applyFont="1" applyBorder="1" applyAlignment="1">
      <alignment horizontal="center" vertical="center" wrapText="1"/>
    </xf>
    <xf numFmtId="1" fontId="2" fillId="0" borderId="15" xfId="0" applyNumberFormat="1" applyFont="1" applyBorder="1" applyAlignment="1">
      <alignment horizontal="center" vertical="center" wrapText="1"/>
    </xf>
    <xf numFmtId="4" fontId="2" fillId="0" borderId="16" xfId="0" applyNumberFormat="1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64" fontId="2" fillId="0" borderId="15" xfId="0" applyNumberFormat="1" applyFont="1" applyBorder="1" applyAlignment="1">
      <alignment horizontal="center" vertical="center" wrapText="1"/>
    </xf>
    <xf numFmtId="14" fontId="2" fillId="0" borderId="16" xfId="0" applyNumberFormat="1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1" fillId="0" borderId="12" xfId="0" applyFont="1" applyBorder="1" applyAlignment="1">
      <alignment vertical="center" wrapText="1"/>
    </xf>
    <xf numFmtId="0" fontId="3" fillId="0" borderId="0" xfId="0" applyFont="1" applyAlignment="1">
      <alignment vertical="center"/>
    </xf>
    <xf numFmtId="0" fontId="2" fillId="0" borderId="15" xfId="0" applyFont="1" applyBorder="1" applyAlignment="1">
      <alignment horizontal="center" vertical="center" shrinkToFit="1"/>
    </xf>
    <xf numFmtId="0" fontId="1" fillId="0" borderId="12" xfId="0" applyFont="1" applyBorder="1" applyAlignment="1">
      <alignment horizontal="center" vertical="center" shrinkToFit="1"/>
    </xf>
    <xf numFmtId="0" fontId="1" fillId="0" borderId="14" xfId="0" applyFont="1" applyBorder="1" applyAlignment="1">
      <alignment horizontal="center" vertical="center" shrinkToFit="1"/>
    </xf>
    <xf numFmtId="0" fontId="1" fillId="0" borderId="2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 wrapText="1"/>
    </xf>
    <xf numFmtId="0" fontId="2" fillId="0" borderId="18" xfId="0" applyFont="1" applyBorder="1" applyAlignment="1">
      <alignment horizontal="left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166" fontId="1" fillId="0" borderId="2" xfId="0" applyNumberFormat="1" applyFont="1" applyBorder="1" applyAlignment="1">
      <alignment horizontal="center" vertical="center" wrapText="1"/>
    </xf>
    <xf numFmtId="166" fontId="1" fillId="0" borderId="11" xfId="0" applyNumberFormat="1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166" fontId="1" fillId="0" borderId="15" xfId="0" applyNumberFormat="1" applyFont="1" applyBorder="1" applyAlignment="1">
      <alignment horizontal="center" vertical="center" wrapText="1"/>
    </xf>
    <xf numFmtId="166" fontId="1" fillId="0" borderId="16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35"/>
  <sheetViews>
    <sheetView tabSelected="1" topLeftCell="A13" workbookViewId="0">
      <selection activeCell="A21" sqref="A21"/>
    </sheetView>
  </sheetViews>
  <sheetFormatPr defaultColWidth="9.109375" defaultRowHeight="14.4" x14ac:dyDescent="0.3"/>
  <cols>
    <col min="1" max="6" width="22.33203125" style="4" customWidth="1"/>
    <col min="7" max="16384" width="9.109375" style="4"/>
  </cols>
  <sheetData>
    <row r="1" spans="1:6" ht="21.75" customHeight="1" x14ac:dyDescent="0.3">
      <c r="A1" s="27"/>
      <c r="B1" s="28"/>
      <c r="C1" s="28"/>
      <c r="D1" s="28"/>
      <c r="E1" s="28"/>
      <c r="F1" s="29"/>
    </row>
    <row r="2" spans="1:6" ht="21.75" customHeight="1" thickBot="1" x14ac:dyDescent="0.35">
      <c r="A2" s="35" t="s">
        <v>32</v>
      </c>
      <c r="B2" s="36"/>
      <c r="C2" s="36"/>
      <c r="D2" s="36"/>
      <c r="E2" s="36"/>
      <c r="F2" s="37"/>
    </row>
    <row r="3" spans="1:6" ht="21.75" customHeight="1" thickBot="1" x14ac:dyDescent="0.35"/>
    <row r="4" spans="1:6" ht="21.75" customHeight="1" x14ac:dyDescent="0.3">
      <c r="A4" s="27" t="s">
        <v>0</v>
      </c>
      <c r="B4" s="28"/>
      <c r="C4" s="28"/>
      <c r="D4" s="28"/>
      <c r="E4" s="28"/>
      <c r="F4" s="29"/>
    </row>
    <row r="5" spans="1:6" ht="30" customHeight="1" x14ac:dyDescent="0.3">
      <c r="A5" s="25" t="s">
        <v>1</v>
      </c>
      <c r="B5" s="23"/>
      <c r="C5" s="26"/>
      <c r="D5" s="1" t="s">
        <v>2</v>
      </c>
      <c r="E5" s="1" t="s">
        <v>3</v>
      </c>
      <c r="F5" s="6" t="s">
        <v>4</v>
      </c>
    </row>
    <row r="6" spans="1:6" ht="21.75" customHeight="1" thickBot="1" x14ac:dyDescent="0.35">
      <c r="A6" s="32"/>
      <c r="B6" s="33"/>
      <c r="C6" s="34"/>
      <c r="D6" s="12"/>
      <c r="E6" s="19"/>
      <c r="F6" s="16"/>
    </row>
    <row r="7" spans="1:6" ht="21.75" customHeight="1" thickBot="1" x14ac:dyDescent="0.35"/>
    <row r="8" spans="1:6" ht="21.75" customHeight="1" x14ac:dyDescent="0.3">
      <c r="A8" s="27" t="s">
        <v>5</v>
      </c>
      <c r="B8" s="28"/>
      <c r="C8" s="28"/>
      <c r="D8" s="28"/>
      <c r="E8" s="28"/>
      <c r="F8" s="29"/>
    </row>
    <row r="9" spans="1:6" ht="31.5" customHeight="1" x14ac:dyDescent="0.3">
      <c r="A9" s="25" t="s">
        <v>6</v>
      </c>
      <c r="B9" s="26"/>
      <c r="C9" s="1" t="s">
        <v>17</v>
      </c>
      <c r="D9" s="1" t="s">
        <v>25</v>
      </c>
      <c r="E9" s="1" t="s">
        <v>7</v>
      </c>
      <c r="F9" s="6" t="s">
        <v>8</v>
      </c>
    </row>
    <row r="10" spans="1:6" ht="21.75" customHeight="1" thickBot="1" x14ac:dyDescent="0.35">
      <c r="A10" s="32"/>
      <c r="B10" s="34"/>
      <c r="C10" s="13"/>
      <c r="D10" s="13"/>
      <c r="E10" s="13"/>
      <c r="F10" s="15"/>
    </row>
    <row r="11" spans="1:6" ht="21.75" customHeight="1" thickBot="1" x14ac:dyDescent="0.35"/>
    <row r="12" spans="1:6" ht="21.75" customHeight="1" x14ac:dyDescent="0.3">
      <c r="A12" s="27" t="s">
        <v>9</v>
      </c>
      <c r="B12" s="28"/>
      <c r="C12" s="28"/>
      <c r="D12" s="28"/>
      <c r="E12" s="28"/>
      <c r="F12" s="29"/>
    </row>
    <row r="13" spans="1:6" ht="21.75" customHeight="1" x14ac:dyDescent="0.3">
      <c r="A13" s="25" t="s">
        <v>18</v>
      </c>
      <c r="B13" s="26"/>
      <c r="C13" s="30" t="s">
        <v>27</v>
      </c>
      <c r="D13" s="30" t="s">
        <v>26</v>
      </c>
      <c r="E13" s="22" t="s">
        <v>21</v>
      </c>
      <c r="F13" s="24"/>
    </row>
    <row r="14" spans="1:6" ht="36" customHeight="1" x14ac:dyDescent="0.3">
      <c r="A14" s="5" t="s">
        <v>19</v>
      </c>
      <c r="B14" s="1" t="s">
        <v>22</v>
      </c>
      <c r="C14" s="31"/>
      <c r="D14" s="31"/>
      <c r="E14" s="1" t="s">
        <v>23</v>
      </c>
      <c r="F14" s="6" t="s">
        <v>24</v>
      </c>
    </row>
    <row r="15" spans="1:6" ht="21.75" customHeight="1" thickBot="1" x14ac:dyDescent="0.35">
      <c r="A15" s="7"/>
      <c r="B15" s="8"/>
      <c r="C15" s="14">
        <v>1.4E-2</v>
      </c>
      <c r="D15" s="10">
        <v>0</v>
      </c>
      <c r="E15" s="8">
        <f>ROUND(A15*C15,2)</f>
        <v>0</v>
      </c>
      <c r="F15" s="11">
        <f>ROUND(B15*C15,2)</f>
        <v>0</v>
      </c>
    </row>
    <row r="16" spans="1:6" ht="21.75" customHeight="1" thickBot="1" x14ac:dyDescent="0.35"/>
    <row r="17" spans="1:6" ht="21.75" customHeight="1" x14ac:dyDescent="0.3">
      <c r="A17" s="27" t="s">
        <v>10</v>
      </c>
      <c r="B17" s="28"/>
      <c r="C17" s="28"/>
      <c r="D17" s="28"/>
      <c r="E17" s="28"/>
      <c r="F17" s="29"/>
    </row>
    <row r="18" spans="1:6" ht="21.75" customHeight="1" x14ac:dyDescent="0.3">
      <c r="A18" s="25" t="s">
        <v>18</v>
      </c>
      <c r="B18" s="26"/>
      <c r="C18" s="30" t="s">
        <v>30</v>
      </c>
      <c r="D18" s="30" t="s">
        <v>29</v>
      </c>
      <c r="E18" s="22" t="s">
        <v>21</v>
      </c>
      <c r="F18" s="24"/>
    </row>
    <row r="19" spans="1:6" ht="32.25" customHeight="1" x14ac:dyDescent="0.3">
      <c r="A19" s="5" t="s">
        <v>19</v>
      </c>
      <c r="B19" s="1" t="s">
        <v>20</v>
      </c>
      <c r="C19" s="31"/>
      <c r="D19" s="31"/>
      <c r="E19" s="1" t="s">
        <v>28</v>
      </c>
      <c r="F19" s="6" t="s">
        <v>31</v>
      </c>
    </row>
    <row r="20" spans="1:6" ht="21.75" customHeight="1" thickBot="1" x14ac:dyDescent="0.35">
      <c r="A20" s="7">
        <f>kalanMiktarABSil</f>
        <v>0</v>
      </c>
      <c r="B20" s="8">
        <f>kalanMiktarUlusalSil</f>
        <v>0</v>
      </c>
      <c r="C20" s="9">
        <v>4.6700000000000002E-4</v>
      </c>
      <c r="D20" s="10">
        <v>0</v>
      </c>
      <c r="E20" s="8">
        <f>ROUND(A20*C20,2)</f>
        <v>0</v>
      </c>
      <c r="F20" s="11">
        <f>ROUND(B20*C20,2)</f>
        <v>0</v>
      </c>
    </row>
    <row r="21" spans="1:6" ht="21.75" customHeight="1" thickBot="1" x14ac:dyDescent="0.35">
      <c r="A21" s="18">
        <f>faizOranAyToplam+faizOranGunToplam</f>
        <v>1.4467000000000001E-2</v>
      </c>
    </row>
    <row r="22" spans="1:6" ht="21.75" customHeight="1" x14ac:dyDescent="0.3">
      <c r="A22" s="27" t="s">
        <v>33</v>
      </c>
      <c r="B22" s="28"/>
      <c r="C22" s="28"/>
      <c r="D22" s="28"/>
      <c r="E22" s="28"/>
      <c r="F22" s="29"/>
    </row>
    <row r="23" spans="1:6" ht="35.25" customHeight="1" x14ac:dyDescent="0.3">
      <c r="A23" s="25" t="str">
        <f>TEXT( F10,"gg.aa.yyyy") &amp; " İTİBARİYLE AB ve ULUSAL KATKI BAZINDA GERİ ALINACAK ANAPARA TUTARI"</f>
        <v>00.01.1900 İTİBARİYLE AB ve ULUSAL KATKI BAZINDA GERİ ALINACAK ANAPARA TUTARI</v>
      </c>
      <c r="B23" s="23"/>
      <c r="C23" s="26"/>
      <c r="D23" s="22" t="str">
        <f>TEXT( F10,"gg.aa.yyyy") &amp; " İTİBARİYLE AB ve ULUSAL KATKI BAZINDA GERİ ALINACAK FAİZ TUTARI (R="&amp;A21*100&amp;")"</f>
        <v>00.01.1900 İTİBARİYLE AB ve ULUSAL KATKI BAZINDA GERİ ALINACAK FAİZ TUTARI (R=1,4467)</v>
      </c>
      <c r="E23" s="23"/>
      <c r="F23" s="24"/>
    </row>
    <row r="24" spans="1:6" ht="32.25" customHeight="1" x14ac:dyDescent="0.3">
      <c r="A24" s="5" t="s">
        <v>34</v>
      </c>
      <c r="B24" s="1" t="s">
        <v>35</v>
      </c>
      <c r="C24" s="1" t="s">
        <v>36</v>
      </c>
      <c r="D24" s="1" t="s">
        <v>37</v>
      </c>
      <c r="E24" s="1" t="s">
        <v>38</v>
      </c>
      <c r="F24" s="6" t="s">
        <v>39</v>
      </c>
    </row>
    <row r="25" spans="1:6" ht="21.75" customHeight="1" thickBot="1" x14ac:dyDescent="0.35">
      <c r="A25" s="7">
        <f>B25+C25</f>
        <v>0</v>
      </c>
      <c r="B25" s="8">
        <f>kalanMiktarABSil</f>
        <v>0</v>
      </c>
      <c r="C25" s="8">
        <f>kalanMiktarUlusalSil</f>
        <v>0</v>
      </c>
      <c r="D25" s="8">
        <f>kalanFaizMiktarABSil+kalanFaizMiktarUlusalSil</f>
        <v>0</v>
      </c>
      <c r="E25" s="8"/>
      <c r="F25" s="11"/>
    </row>
    <row r="26" spans="1:6" ht="21.75" customHeight="1" thickBot="1" x14ac:dyDescent="0.35">
      <c r="A26" s="18"/>
      <c r="B26" s="18"/>
    </row>
    <row r="27" spans="1:6" ht="21.75" customHeight="1" x14ac:dyDescent="0.3">
      <c r="A27" s="27" t="s">
        <v>40</v>
      </c>
      <c r="B27" s="28"/>
      <c r="C27" s="28"/>
      <c r="D27" s="28"/>
      <c r="E27" s="28"/>
      <c r="F27" s="29"/>
    </row>
    <row r="28" spans="1:6" ht="49.5" customHeight="1" x14ac:dyDescent="0.3">
      <c r="A28" s="17" t="s">
        <v>41</v>
      </c>
      <c r="B28" s="22" t="s">
        <v>42</v>
      </c>
      <c r="C28" s="23"/>
      <c r="D28" s="26"/>
      <c r="E28" s="22" t="s">
        <v>43</v>
      </c>
      <c r="F28" s="24"/>
    </row>
    <row r="29" spans="1:6" ht="21.75" customHeight="1" x14ac:dyDescent="0.3">
      <c r="A29" s="20" t="str">
        <f>IF(E29&gt;0,"IPARD Transfer Hesabı","")</f>
        <v/>
      </c>
      <c r="B29" s="22" t="str">
        <f>IF(E29&gt;0,$A$26,"")</f>
        <v/>
      </c>
      <c r="C29" s="23"/>
      <c r="D29" s="26"/>
      <c r="E29" s="38">
        <f>kalanMiktarABSil+kalanFaizMiktarABSil</f>
        <v>0</v>
      </c>
      <c r="F29" s="39"/>
    </row>
    <row r="30" spans="1:6" ht="21.75" customHeight="1" thickBot="1" x14ac:dyDescent="0.35">
      <c r="A30" s="21" t="str">
        <f>IF(E30&gt;0,"IPARD Ulusal Eş Finansman Hesabı","")</f>
        <v/>
      </c>
      <c r="B30" s="40" t="str">
        <f>IF(E30&gt;0,$B$26,"")</f>
        <v/>
      </c>
      <c r="C30" s="40"/>
      <c r="D30" s="40"/>
      <c r="E30" s="41">
        <f>kalanMiktarUlusalSil+kalanFaizMiktarUlusalSil</f>
        <v>0</v>
      </c>
      <c r="F30" s="42"/>
    </row>
    <row r="31" spans="1:6" ht="21.75" customHeight="1" x14ac:dyDescent="0.3"/>
    <row r="32" spans="1:6" ht="21.75" customHeight="1" x14ac:dyDescent="0.3">
      <c r="A32" s="2"/>
      <c r="B32" s="22" t="s">
        <v>11</v>
      </c>
      <c r="C32" s="26"/>
      <c r="D32" s="1" t="s">
        <v>12</v>
      </c>
      <c r="E32" s="22" t="s">
        <v>13</v>
      </c>
      <c r="F32" s="26"/>
    </row>
    <row r="33" spans="1:6" ht="35.25" customHeight="1" x14ac:dyDescent="0.3">
      <c r="A33" s="3" t="s">
        <v>14</v>
      </c>
      <c r="B33" s="43"/>
      <c r="C33" s="44"/>
      <c r="D33" s="2"/>
      <c r="E33" s="43"/>
      <c r="F33" s="44"/>
    </row>
    <row r="34" spans="1:6" ht="35.25" customHeight="1" x14ac:dyDescent="0.3">
      <c r="A34" s="3" t="s">
        <v>15</v>
      </c>
      <c r="B34" s="43"/>
      <c r="C34" s="44"/>
      <c r="D34" s="2"/>
      <c r="E34" s="43"/>
      <c r="F34" s="44"/>
    </row>
    <row r="35" spans="1:6" ht="35.25" customHeight="1" x14ac:dyDescent="0.3">
      <c r="A35" s="3" t="s">
        <v>16</v>
      </c>
      <c r="B35" s="43"/>
      <c r="C35" s="44"/>
      <c r="D35" s="2"/>
      <c r="E35" s="43"/>
      <c r="F35" s="44"/>
    </row>
  </sheetData>
  <mergeCells count="36">
    <mergeCell ref="B32:C32"/>
    <mergeCell ref="B33:C33"/>
    <mergeCell ref="B34:C34"/>
    <mergeCell ref="B35:C35"/>
    <mergeCell ref="E32:F32"/>
    <mergeCell ref="E33:F33"/>
    <mergeCell ref="E34:F34"/>
    <mergeCell ref="E35:F35"/>
    <mergeCell ref="A27:F27"/>
    <mergeCell ref="B29:D29"/>
    <mergeCell ref="E29:F29"/>
    <mergeCell ref="B30:D30"/>
    <mergeCell ref="E30:F30"/>
    <mergeCell ref="A6:C6"/>
    <mergeCell ref="A10:B10"/>
    <mergeCell ref="A1:F1"/>
    <mergeCell ref="A2:F2"/>
    <mergeCell ref="A4:F4"/>
    <mergeCell ref="A5:C5"/>
    <mergeCell ref="A8:F8"/>
    <mergeCell ref="D23:F23"/>
    <mergeCell ref="A23:C23"/>
    <mergeCell ref="E28:F28"/>
    <mergeCell ref="B28:D28"/>
    <mergeCell ref="A9:B9"/>
    <mergeCell ref="A12:F12"/>
    <mergeCell ref="A13:B13"/>
    <mergeCell ref="C13:C14"/>
    <mergeCell ref="D13:D14"/>
    <mergeCell ref="E13:F13"/>
    <mergeCell ref="A17:F17"/>
    <mergeCell ref="A18:B18"/>
    <mergeCell ref="C18:C19"/>
    <mergeCell ref="D18:D19"/>
    <mergeCell ref="E18:F18"/>
    <mergeCell ref="A22:F22"/>
  </mergeCells>
  <pageMargins left="0.7" right="0.7" top="0.75" bottom="0.75" header="0.3" footer="0.3"/>
  <pageSetup paperSize="9" scale="6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21</vt:i4>
      </vt:variant>
    </vt:vector>
  </HeadingPairs>
  <TitlesOfParts>
    <vt:vector size="22" baseType="lpstr">
      <vt:lpstr>Sayfa1</vt:lpstr>
      <vt:lpstr>aySayisi</vt:lpstr>
      <vt:lpstr>basvuruKayitNumarasi</vt:lpstr>
      <vt:lpstr>bildirimTarihi</vt:lpstr>
      <vt:lpstr>borcluAd</vt:lpstr>
      <vt:lpstr>borcunKodu</vt:lpstr>
      <vt:lpstr>faizOranAyToplam</vt:lpstr>
      <vt:lpstr>faizOranGunToplam</vt:lpstr>
      <vt:lpstr>gunSayisi</vt:lpstr>
      <vt:lpstr>hazirlayan</vt:lpstr>
      <vt:lpstr>islemTarihi</vt:lpstr>
      <vt:lpstr>kalanFaizMiktarABSil</vt:lpstr>
      <vt:lpstr>kalanFaizMiktarUlusalSil</vt:lpstr>
      <vt:lpstr>kalanMiktarABSil</vt:lpstr>
      <vt:lpstr>kalanMiktarUlusalSil</vt:lpstr>
      <vt:lpstr>kimlikNo</vt:lpstr>
      <vt:lpstr>kontrolEden</vt:lpstr>
      <vt:lpstr>kurumAd</vt:lpstr>
      <vt:lpstr>onaylayan</vt:lpstr>
      <vt:lpstr>sozlesmeNumarasi</vt:lpstr>
      <vt:lpstr>temerrutTarihi</vt:lpstr>
      <vt:lpstr>tesellumTarihi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</dc:creator>
  <cp:lastModifiedBy>Can Ünver</cp:lastModifiedBy>
  <cp:lastPrinted>2017-11-02T14:07:23Z</cp:lastPrinted>
  <dcterms:created xsi:type="dcterms:W3CDTF">2017-11-02T07:11:32Z</dcterms:created>
  <dcterms:modified xsi:type="dcterms:W3CDTF">2018-09-09T21:20:03Z</dcterms:modified>
</cp:coreProperties>
</file>